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regionativo/code/sf-cli/team_capacity/"/>
    </mc:Choice>
  </mc:AlternateContent>
  <xr:revisionPtr revIDLastSave="0" documentId="13_ncr:1_{F6243BDE-E5ED-CD4D-B8C5-19FE036A5727}" xr6:coauthVersionLast="47" xr6:coauthVersionMax="47" xr10:uidLastSave="{00000000-0000-0000-0000-000000000000}"/>
  <bookViews>
    <workbookView xWindow="25600" yWindow="620" windowWidth="51200" windowHeight="28180" tabRatio="500" activeTab="2" xr2:uid="{00000000-000D-0000-FFFF-FFFF00000000}"/>
  </bookViews>
  <sheets>
    <sheet name="Inputs" sheetId="1" r:id="rId1"/>
    <sheet name="Deals" sheetId="2" r:id="rId2"/>
    <sheet name="Analysis" sheetId="3" r:id="rId3"/>
  </sheets>
  <definedNames>
    <definedName name="_xlnm._FilterDatabase" localSheetId="2" hidden="1">Analysis!$A$3:$I$11</definedName>
    <definedName name="_xlnm._FilterDatabase" localSheetId="1" hidden="1">Deals!$A$1:$L$175</definedName>
    <definedName name="BaselineOverhead">Inputs!$B$22</definedName>
    <definedName name="Label_AboveCapacity">Inputs!$A$26</definedName>
    <definedName name="Label_AtCapacity">Inputs!$A$27</definedName>
    <definedName name="Label_Available">Inputs!$A$29</definedName>
    <definedName name="Label_Healthy">Inputs!$A$28</definedName>
    <definedName name="Threshold_AboveCapacity">Inputs!$B$26</definedName>
    <definedName name="Threshold_AtCapacity">Inputs!$B$27</definedName>
    <definedName name="Threshold_Healthy">Inputs!$B$28</definedName>
    <definedName name="WeeklyCapHrs">Inputs!$B$16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1" i="3" l="1" a="1"/>
  <c r="O11" i="3" s="1"/>
  <c r="O10" i="3" a="1"/>
  <c r="O10" i="3" s="1"/>
  <c r="O9" i="3" a="1"/>
  <c r="O9" i="3" s="1"/>
  <c r="O8" i="3" a="1"/>
  <c r="O8" i="3" s="1"/>
  <c r="O7" i="3" a="1"/>
  <c r="O7" i="3" s="1"/>
  <c r="O6" i="3" a="1"/>
  <c r="O6" i="3" s="1"/>
  <c r="O5" i="3" a="1"/>
  <c r="O5" i="3" s="1"/>
  <c r="O4" i="3" a="1"/>
  <c r="O4" i="3" s="1"/>
  <c r="N11" i="3"/>
  <c r="N10" i="3" a="1"/>
  <c r="N10" i="3" s="1"/>
  <c r="N9" i="3" a="1"/>
  <c r="N9" i="3" s="1"/>
  <c r="N8" i="3" a="1"/>
  <c r="N8" i="3" s="1"/>
  <c r="N7" i="3" a="1"/>
  <c r="N7" i="3" s="1"/>
  <c r="N6" i="3" a="1"/>
  <c r="N6" i="3" s="1"/>
  <c r="N5" i="3" a="1"/>
  <c r="N5" i="3" s="1"/>
  <c r="N4" i="3" a="1"/>
  <c r="N4" i="3" s="1"/>
  <c r="L11" i="3" l="1" a="1"/>
  <c r="L11" i="3" s="1"/>
  <c r="M11" i="3" a="1"/>
  <c r="M11" i="3" s="1"/>
  <c r="A10" i="3" l="1" a="1"/>
  <c r="A10" i="3" s="1"/>
  <c r="A9" i="3" a="1"/>
  <c r="A9" i="3" s="1"/>
  <c r="A8" i="3" a="1"/>
  <c r="A8" i="3" s="1"/>
  <c r="A7" i="3" a="1"/>
  <c r="A7" i="3" s="1"/>
  <c r="A6" i="3" a="1"/>
  <c r="A6" i="3" s="1"/>
  <c r="A5" i="3" a="1"/>
  <c r="A5" i="3" s="1"/>
  <c r="A4" i="3" a="1"/>
  <c r="A4" i="3" s="1"/>
  <c r="B22" i="1"/>
  <c r="K7" i="3" l="1" a="1"/>
  <c r="K7" i="3" s="1"/>
  <c r="L7" i="3" a="1"/>
  <c r="L7" i="3" s="1"/>
  <c r="K8" i="3" a="1"/>
  <c r="K8" i="3" s="1"/>
  <c r="L8" i="3" a="1"/>
  <c r="L8" i="3" s="1"/>
  <c r="K5" i="3" a="1"/>
  <c r="K5" i="3" s="1"/>
  <c r="L5" i="3" a="1"/>
  <c r="L5" i="3" s="1"/>
  <c r="K9" i="3" a="1"/>
  <c r="K9" i="3" s="1"/>
  <c r="L9" i="3" a="1"/>
  <c r="L9" i="3" s="1"/>
  <c r="K4" i="3" a="1"/>
  <c r="K4" i="3" s="1"/>
  <c r="F4" i="3" a="1"/>
  <c r="F4" i="3" s="1"/>
  <c r="L4" i="3" a="1"/>
  <c r="L4" i="3" s="1"/>
  <c r="K6" i="3" a="1"/>
  <c r="K6" i="3" s="1"/>
  <c r="L6" i="3" a="1"/>
  <c r="L6" i="3" s="1"/>
  <c r="K10" i="3" a="1"/>
  <c r="K10" i="3" s="1"/>
  <c r="L10" i="3" a="1"/>
  <c r="L10" i="3" s="1"/>
  <c r="M4" i="3" a="1"/>
  <c r="M4" i="3" s="1"/>
  <c r="J4" i="3" a="1"/>
  <c r="J4" i="3" s="1"/>
  <c r="B4" i="3"/>
  <c r="F5" i="3" a="1"/>
  <c r="F5" i="3" s="1"/>
  <c r="J5" i="3" a="1"/>
  <c r="J5" i="3" s="1"/>
  <c r="M5" i="3" a="1"/>
  <c r="M5" i="3" s="1"/>
  <c r="J8" i="3" a="1"/>
  <c r="J8" i="3" s="1"/>
  <c r="M8" i="3" a="1"/>
  <c r="M8" i="3" s="1"/>
  <c r="F8" i="3" a="1"/>
  <c r="F8" i="3" s="1"/>
  <c r="J7" i="3" a="1"/>
  <c r="J7" i="3" s="1"/>
  <c r="F7" i="3" a="1"/>
  <c r="F7" i="3" s="1"/>
  <c r="M7" i="3" a="1"/>
  <c r="M7" i="3" s="1"/>
  <c r="E9" i="3"/>
  <c r="I9" i="3"/>
  <c r="M9" i="3" a="1"/>
  <c r="M9" i="3" s="1"/>
  <c r="F9" i="3" a="1"/>
  <c r="F9" i="3" s="1"/>
  <c r="J9" i="3" a="1"/>
  <c r="J9" i="3" s="1"/>
  <c r="J6" i="3" a="1"/>
  <c r="J6" i="3" s="1"/>
  <c r="F6" i="3" a="1"/>
  <c r="F6" i="3" s="1"/>
  <c r="M6" i="3" a="1"/>
  <c r="M6" i="3" s="1"/>
  <c r="I10" i="3"/>
  <c r="F10" i="3" a="1"/>
  <c r="F10" i="3" s="1"/>
  <c r="M10" i="3" a="1"/>
  <c r="M10" i="3" s="1"/>
  <c r="J10" i="3" a="1"/>
  <c r="J10" i="3" s="1"/>
  <c r="E10" i="3"/>
  <c r="D5" i="3"/>
  <c r="B5" i="3"/>
  <c r="C5" i="3"/>
  <c r="C6" i="3"/>
  <c r="D6" i="3"/>
  <c r="B6" i="3"/>
  <c r="C7" i="3"/>
  <c r="B7" i="3"/>
  <c r="D7" i="3"/>
  <c r="B8" i="3"/>
  <c r="C8" i="3"/>
  <c r="D8" i="3"/>
  <c r="B9" i="3"/>
  <c r="G9" i="3"/>
  <c r="H9" i="3"/>
  <c r="D9" i="3"/>
  <c r="C9" i="3"/>
  <c r="C10" i="3"/>
  <c r="B10" i="3"/>
  <c r="D10" i="3"/>
  <c r="H10" i="3"/>
  <c r="G10" i="3"/>
  <c r="D4" i="3"/>
  <c r="C4" i="3"/>
  <c r="E5" i="3" l="1"/>
  <c r="H5" i="3" s="1"/>
  <c r="K11" i="3" a="1"/>
  <c r="K11" i="3" s="1"/>
  <c r="E7" i="3"/>
  <c r="H7" i="3" s="1"/>
  <c r="E6" i="3"/>
  <c r="H6" i="3" s="1"/>
  <c r="E4" i="3"/>
  <c r="J11" i="3"/>
  <c r="F11" i="3"/>
  <c r="E8" i="3"/>
  <c r="G8" i="3" s="1"/>
  <c r="I8" i="3" s="1"/>
  <c r="B11" i="3"/>
  <c r="C11" i="3"/>
  <c r="D11" i="3"/>
  <c r="G7" i="3" l="1"/>
  <c r="I7" i="3" s="1"/>
  <c r="G5" i="3"/>
  <c r="I5" i="3" s="1"/>
  <c r="G6" i="3"/>
  <c r="I6" i="3" s="1"/>
  <c r="H8" i="3"/>
  <c r="E11" i="3"/>
  <c r="G4" i="3"/>
  <c r="I4" i="3" s="1"/>
  <c r="H4" i="3"/>
  <c r="H11" i="3" l="1"/>
  <c r="G11" i="3"/>
  <c r="I11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<sst xmlns="http://schemas.openxmlformats.org/spreadsheetml/2006/main" count="106" uniqueCount="82">
  <si>
    <t>Activity Effort</t>
  </si>
  <si>
    <t>Activity</t>
  </si>
  <si>
    <t>Hrs per Stage</t>
  </si>
  <si>
    <t>Typical Weeks</t>
  </si>
  <si>
    <t>Disco</t>
  </si>
  <si>
    <t>Demo (POM)</t>
  </si>
  <si>
    <t>PoC (POM)</t>
  </si>
  <si>
    <t>Agents Demo</t>
  </si>
  <si>
    <t>Agents Setup</t>
  </si>
  <si>
    <t>Agents Readout</t>
  </si>
  <si>
    <t>RFP</t>
  </si>
  <si>
    <t>Value Case</t>
  </si>
  <si>
    <t>Closing Support</t>
  </si>
  <si>
    <t>Handover</t>
  </si>
  <si>
    <t>Stalled</t>
  </si>
  <si>
    <t>Capacity Config</t>
  </si>
  <si>
    <t>Not Started</t>
  </si>
  <si>
    <t>Input</t>
  </si>
  <si>
    <t>Value</t>
  </si>
  <si>
    <t>Description</t>
  </si>
  <si>
    <t>Weekly Cap (hrs)</t>
  </si>
  <si>
    <t>Max hours per FTE per week</t>
  </si>
  <si>
    <t>Non-Opp Work %</t>
  </si>
  <si>
    <t>Meetings, enablement, admin</t>
  </si>
  <si>
    <t>Retention / Churn %</t>
  </si>
  <si>
    <t>Customer retention work</t>
  </si>
  <si>
    <t>Calendar Days (Net)</t>
  </si>
  <si>
    <t>Working days per year (excl. holidays)</t>
  </si>
  <si>
    <t>Hours per Day</t>
  </si>
  <si>
    <t>Standard work day</t>
  </si>
  <si>
    <t>Baseline Overhead / Wk</t>
  </si>
  <si>
    <t>Derived: (Non-Opp + Retention) annual hrs ÷ 49 wks</t>
  </si>
  <si>
    <t>Status Thresholds</t>
  </si>
  <si>
    <t>Label</t>
  </si>
  <si>
    <t>Min Utilization %</t>
  </si>
  <si>
    <t>OVERLOADED</t>
  </si>
  <si>
    <t>Utilization above this → OVERLOADED</t>
  </si>
  <si>
    <t>AT CAPACITY</t>
  </si>
  <si>
    <t>Utilization above this → AT CAPACITY</t>
  </si>
  <si>
    <t>HEALTHY</t>
  </si>
  <si>
    <t>Utilization above this → HEALTHY</t>
  </si>
  <si>
    <t>AVAILABLE</t>
  </si>
  <si>
    <t>Below HEALTHY threshold (implicit floor)</t>
  </si>
  <si>
    <t>Team Roster</t>
  </si>
  <si>
    <t>Ninja</t>
  </si>
  <si>
    <t>Include?</t>
  </si>
  <si>
    <t>Efficiency Factor</t>
  </si>
  <si>
    <t>This Wk PTO (hrs)</t>
  </si>
  <si>
    <t>This Wk Travel (hrs)</t>
  </si>
  <si>
    <t>Justin Childs</t>
  </si>
  <si>
    <t>Yes</t>
  </si>
  <si>
    <t>Yes/No, EF, PTO &amp; Travel are editable weekly</t>
  </si>
  <si>
    <t>Suzi Rodriguez</t>
  </si>
  <si>
    <t>Meredith Campbell</t>
  </si>
  <si>
    <t>Evan Winston</t>
  </si>
  <si>
    <t>Jose Paez</t>
  </si>
  <si>
    <t>Radha Patel</t>
  </si>
  <si>
    <t>No</t>
  </si>
  <si>
    <t>Sean Missingham</t>
  </si>
  <si>
    <t>Ninja (Current)</t>
  </si>
  <si>
    <t>Account</t>
  </si>
  <si>
    <t>Opportunity</t>
  </si>
  <si>
    <t>Deal Category</t>
  </si>
  <si>
    <t>ACV (EUR)</t>
  </si>
  <si>
    <t>Sales Stage</t>
  </si>
  <si>
    <t>Type (NB/Exp)</t>
  </si>
  <si>
    <t>Quarter</t>
  </si>
  <si>
    <t>Close Date</t>
  </si>
  <si>
    <t>AE (Owner)</t>
  </si>
  <si>
    <t>Status</t>
  </si>
  <si>
    <t>Weekly Capacity &amp; Utilization Dashboard</t>
  </si>
  <si>
    <t>Wkly Capacity (hrs)</t>
  </si>
  <si>
    <t>Wkly Demand (hrs)</t>
  </si>
  <si>
    <t>Utilization</t>
  </si>
  <si>
    <t>Weekly Buffer (hrs)</t>
  </si>
  <si>
    <t>Active Opps</t>
  </si>
  <si>
    <t>Total AEs/CSMs</t>
  </si>
  <si>
    <t>Stage Breakdown</t>
  </si>
  <si>
    <t>Active ACV Breakdown</t>
  </si>
  <si>
    <t>Total Opps Assigned</t>
  </si>
  <si>
    <t>ACV by Activity</t>
  </si>
  <si>
    <t>TEAM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</si>
</sst>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_([$€-2]\ * #,##0.00_);_([$€-2]\ * \(#,##0.00\);_([$€-2]\ * &quot;-&quot;??_);_(@_)"/>
  </numFmts>
  <fonts count="19" x14ac:knownFonts="1">
    <font>
      <sz val="11"/>
      <color theme="1"/>
      <name val="Calibri"/>
      <family val="2"/>
      <charset val="1"/>
    </font>
    <font>
      <b/>
      <sz val="12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0000FF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4"/>
      <color rgb="FF4472C4"/>
      <name val="Arial"/>
      <family val="2"/>
    </font>
    <font>
      <b/>
      <sz val="10"/>
      <color rgb="FF9C6500"/>
      <name val="Arial"/>
      <family val="2"/>
    </font>
    <font>
      <b/>
      <sz val="10"/>
      <color rgb="FF9C0006"/>
      <name val="Arial"/>
      <family val="2"/>
    </font>
    <font>
      <b/>
      <sz val="10"/>
      <color rgb="FF006100"/>
      <name val="Arial"/>
      <family val="2"/>
    </font>
    <font>
      <sz val="10"/>
      <color rgb="FF808080"/>
      <name val="Arial"/>
      <family val="2"/>
    </font>
    <font>
      <i/>
      <sz val="10"/>
      <color rgb="FF808080"/>
      <name val="Arial"/>
      <family val="2"/>
    </font>
    <font>
      <sz val="10"/>
      <color rgb="FF008000"/>
      <name val="Arial"/>
      <family val="2"/>
    </font>
    <font>
      <b/>
      <i/>
      <sz val="10"/>
      <color rgb="FFFFFFFF"/>
      <name val="Arial"/>
      <family val="2"/>
    </font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</font>
    <font>
      <sz val="10"/>
      <color theme="0"/>
      <name val="Arial"/>
      <family val="2"/>
    </font>
    <font>
      <sz val="10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BF8F00"/>
        <bgColor rgb="FFED7D31"/>
      </patternFill>
    </fill>
    <fill>
      <patternFill patternType="solid">
        <fgColor rgb="FF4472C4"/>
        <bgColor rgb="FF666699"/>
      </patternFill>
    </fill>
    <fill>
      <patternFill patternType="solid">
        <fgColor rgb="FF4472C4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3" fillId="5" borderId="0" xfId="0" applyFont="1" applyFill="1" applyAlignment="1">
      <alignment horizontal="center"/>
    </xf>
    <xf numFmtId="1" fontId="3" fillId="5" borderId="0" xfId="0" applyNumberFormat="1" applyFont="1" applyFill="1" applyAlignment="1">
      <alignment horizontal="center"/>
    </xf>
    <xf numFmtId="9" fontId="3" fillId="5" borderId="0" xfId="0" applyNumberFormat="1" applyFont="1" applyFill="1" applyAlignment="1">
      <alignment horizontal="center"/>
    </xf>
    <xf numFmtId="164" fontId="6" fillId="7" borderId="0" xfId="0" applyNumberFormat="1" applyFont="1" applyFill="1" applyAlignment="1">
      <alignment horizontal="center"/>
    </xf>
    <xf numFmtId="0" fontId="7" fillId="0" borderId="0" xfId="0" applyFont="1"/>
    <xf numFmtId="0" fontId="2" fillId="4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0" fillId="4" borderId="0" xfId="0" applyFill="1"/>
    <xf numFmtId="0" fontId="12" fillId="0" borderId="0" xfId="0" applyFont="1"/>
    <xf numFmtId="0" fontId="9" fillId="0" borderId="0" xfId="0" applyFont="1"/>
    <xf numFmtId="0" fontId="8" fillId="0" borderId="0" xfId="0" applyFont="1"/>
    <xf numFmtId="0" fontId="10" fillId="0" borderId="0" xfId="0" applyFont="1"/>
    <xf numFmtId="9" fontId="11" fillId="7" borderId="0" xfId="0" applyNumberFormat="1" applyFont="1" applyFill="1" applyAlignment="1">
      <alignment horizontal="center"/>
    </xf>
    <xf numFmtId="0" fontId="14" fillId="4" borderId="0" xfId="0" applyFont="1" applyFill="1" applyAlignment="1">
      <alignment horizontal="center"/>
    </xf>
    <xf numFmtId="165" fontId="2" fillId="3" borderId="1" xfId="0" applyNumberFormat="1" applyFont="1" applyFill="1" applyBorder="1" applyAlignment="1">
      <alignment horizontal="center" vertical="center" wrapText="1"/>
    </xf>
    <xf numFmtId="165" fontId="0" fillId="0" borderId="0" xfId="0" applyNumberFormat="1"/>
    <xf numFmtId="0" fontId="0" fillId="0" borderId="0" xfId="0" applyAlignment="1">
      <alignment wrapText="1"/>
    </xf>
    <xf numFmtId="0" fontId="2" fillId="4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13" fillId="8" borderId="0" xfId="0" applyFont="1" applyFill="1" applyAlignment="1">
      <alignment horizontal="center" vertical="center"/>
    </xf>
    <xf numFmtId="1" fontId="13" fillId="8" borderId="0" xfId="0" applyNumberFormat="1" applyFont="1" applyFill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9" fontId="0" fillId="0" borderId="0" xfId="0" applyNumberFormat="1" applyAlignment="1">
      <alignment vertical="center"/>
    </xf>
    <xf numFmtId="1" fontId="0" fillId="0" borderId="0" xfId="0" applyNumberFormat="1" applyAlignment="1">
      <alignment vertical="center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/>
    </xf>
    <xf numFmtId="164" fontId="4" fillId="0" borderId="0" xfId="0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9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/>
    <xf numFmtId="0" fontId="2" fillId="4" borderId="0" xfId="0" applyFont="1" applyFill="1" applyAlignment="1">
      <alignment horizontal="center" vertical="center"/>
    </xf>
    <xf numFmtId="0" fontId="6" fillId="0" borderId="0" xfId="0" applyFont="1" applyAlignment="1">
      <alignment vertical="center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 wrapText="1"/>
    </xf>
  </cellXfs>
  <cellStyles count="1">
    <cellStyle name="Normal" xfId="0" builtinId="0"/>
  </cellStyles>
  <dxfs count="5">
    <dxf>
      <font>
        <color rgb="FF808080"/>
      </font>
      <fill>
        <patternFill patternType="solid">
          <fgColor indexed="64"/>
          <bgColor rgb="FFD9D9D9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993366"/>
      <rgbColor rgb="FFFFF2CC"/>
      <rgbColor rgb="FFD6E4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FF5F5"/>
      <rgbColor rgb="FFE2EFDA"/>
      <rgbColor rgb="FFFFFF99"/>
      <rgbColor rgb="FF99CCFF"/>
      <rgbColor rgb="FFFF99CC"/>
      <rgbColor rgb="FFCC99FF"/>
      <rgbColor rgb="FFFCE4EC"/>
      <rgbColor rgb="FF4472C4"/>
      <rgbColor rgb="FF33CCCC"/>
      <rgbColor rgb="FF99CC00"/>
      <rgbColor rgb="FFFFCC00"/>
      <rgbColor rgb="FFBF8F00"/>
      <rgbColor rgb="FFED7D31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0628649-5FFF-CA44-83DC-1B0EDCEFAF48}">
  <we:reference id="WA200009404" version="1.0.0.8" store="Omex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AD47"/>
  </sheetPr>
  <dimension ref="A1:F39"/>
  <sheetViews>
    <sheetView topLeftCell="A16" zoomScale="160" zoomScaleNormal="160" workbookViewId="0">
      <selection activeCell="D40" sqref="D40"/>
    </sheetView>
  </sheetViews>
  <sheetFormatPr baseColWidth="10" defaultColWidth="8.6640625" defaultRowHeight="15" customHeight="1" x14ac:dyDescent="0.2"/>
  <cols>
    <col min="1" max="1" width="25" customWidth="1"/>
    <col min="2" max="2" width="15" customWidth="1"/>
    <col min="3" max="3" width="38.33203125" customWidth="1"/>
    <col min="4" max="5" width="20" customWidth="1"/>
    <col min="6" max="6" width="41.6640625" customWidth="1"/>
    <col min="7" max="7" width="18" customWidth="1"/>
    <col min="8" max="8" width="14" customWidth="1"/>
    <col min="9" max="9" width="12" customWidth="1"/>
    <col min="10" max="10" width="14" customWidth="1"/>
  </cols>
  <sheetData>
    <row r="1" spans="1:4" ht="15" customHeight="1" x14ac:dyDescent="0.2">
      <c r="A1" s="12" t="s">
        <v>0</v>
      </c>
      <c r="B1" s="13"/>
      <c r="C1" s="13"/>
    </row>
    <row r="2" spans="1:4" ht="23.25" customHeight="1" x14ac:dyDescent="0.2">
      <c r="A2" s="10" t="s">
        <v>1</v>
      </c>
      <c r="B2" s="10" t="s">
        <v>2</v>
      </c>
      <c r="C2" s="10" t="s">
        <v>3</v>
      </c>
    </row>
    <row r="3" spans="1:4" ht="15" customHeight="1" x14ac:dyDescent="0.2">
      <c r="A3" s="3" t="s">
        <v>4</v>
      </c>
      <c r="B3" s="5">
        <v>4</v>
      </c>
      <c r="C3" s="5">
        <v>1</v>
      </c>
      <c r="D3" s="44" t="s">
        <v>4</v>
      </c>
    </row>
    <row r="4" spans="1:4" ht="15" customHeight="1" x14ac:dyDescent="0.2">
      <c r="A4" s="3" t="s">
        <v>5</v>
      </c>
      <c r="B4" s="5">
        <v>8</v>
      </c>
      <c r="C4" s="5">
        <v>1.5</v>
      </c>
      <c r="D4" s="44" t="s">
        <v>5</v>
      </c>
    </row>
    <row r="5" spans="1:4" ht="15" customHeight="1" x14ac:dyDescent="0.2">
      <c r="A5" s="3" t="s">
        <v>6</v>
      </c>
      <c r="B5" s="5">
        <v>20</v>
      </c>
      <c r="C5" s="5">
        <v>3</v>
      </c>
      <c r="D5" s="44" t="s">
        <v>6</v>
      </c>
    </row>
    <row r="6" spans="1:4" ht="15" customHeight="1" x14ac:dyDescent="0.2">
      <c r="A6" s="3" t="s">
        <v>7</v>
      </c>
      <c r="B6" s="5">
        <v>2</v>
      </c>
      <c r="C6" s="5">
        <v>1</v>
      </c>
      <c r="D6" s="44" t="s">
        <v>7</v>
      </c>
    </row>
    <row r="7" spans="1:4" ht="15" customHeight="1" x14ac:dyDescent="0.2">
      <c r="A7" s="3" t="s">
        <v>8</v>
      </c>
      <c r="B7" s="5">
        <v>10</v>
      </c>
      <c r="C7" s="5">
        <v>2</v>
      </c>
      <c r="D7" s="44" t="s">
        <v>8</v>
      </c>
    </row>
    <row r="8" spans="1:4" ht="15" customHeight="1" x14ac:dyDescent="0.2">
      <c r="A8" s="3" t="s">
        <v>9</v>
      </c>
      <c r="B8" s="5">
        <v>4</v>
      </c>
      <c r="C8" s="5">
        <v>1</v>
      </c>
      <c r="D8" s="44" t="s">
        <v>9</v>
      </c>
    </row>
    <row r="9" spans="1:4" ht="15" customHeight="1" x14ac:dyDescent="0.2">
      <c r="A9" s="3" t="s">
        <v>10</v>
      </c>
      <c r="B9" s="5">
        <v>6</v>
      </c>
      <c r="C9" s="5">
        <v>2</v>
      </c>
      <c r="D9" s="44" t="s">
        <v>10</v>
      </c>
    </row>
    <row r="10" spans="1:4" ht="15" customHeight="1" x14ac:dyDescent="0.2">
      <c r="A10" s="3" t="s">
        <v>11</v>
      </c>
      <c r="B10" s="5">
        <v>6</v>
      </c>
      <c r="C10" s="5">
        <v>2</v>
      </c>
      <c r="D10" s="44" t="s">
        <v>11</v>
      </c>
    </row>
    <row r="11" spans="1:4" ht="15" customHeight="1" x14ac:dyDescent="0.2">
      <c r="A11" s="3" t="s">
        <v>12</v>
      </c>
      <c r="B11" s="5">
        <v>2</v>
      </c>
      <c r="C11" s="5">
        <v>1</v>
      </c>
      <c r="D11" s="44" t="s">
        <v>12</v>
      </c>
    </row>
    <row r="12" spans="1:4" ht="15" customHeight="1" x14ac:dyDescent="0.2">
      <c r="A12" s="3" t="s">
        <v>13</v>
      </c>
      <c r="B12" s="5">
        <v>4</v>
      </c>
      <c r="C12" s="5">
        <v>1</v>
      </c>
      <c r="D12" s="44" t="s">
        <v>13</v>
      </c>
    </row>
    <row r="13" spans="1:4" ht="15" customHeight="1" x14ac:dyDescent="0.2">
      <c r="A13" s="44" t="s">
        <v>14</v>
      </c>
      <c r="D13" s="44" t="s">
        <v>14</v>
      </c>
    </row>
    <row r="14" spans="1:4" ht="15" customHeight="1" x14ac:dyDescent="0.2">
      <c r="A14" s="12" t="s">
        <v>15</v>
      </c>
      <c r="B14" s="13"/>
      <c r="C14" s="13"/>
      <c r="D14" s="44" t="s">
        <v>16</v>
      </c>
    </row>
    <row r="15" spans="1:4" ht="15" customHeight="1" x14ac:dyDescent="0.2">
      <c r="A15" s="10" t="s">
        <v>17</v>
      </c>
      <c r="B15" s="10" t="s">
        <v>18</v>
      </c>
      <c r="C15" s="10" t="s">
        <v>19</v>
      </c>
    </row>
    <row r="16" spans="1:4" ht="23.25" customHeight="1" x14ac:dyDescent="0.2">
      <c r="A16" s="3" t="s">
        <v>20</v>
      </c>
      <c r="B16" s="5">
        <v>40</v>
      </c>
      <c r="C16" s="14" t="s">
        <v>21</v>
      </c>
    </row>
    <row r="17" spans="1:6" ht="15" customHeight="1" x14ac:dyDescent="0.2">
      <c r="A17" s="3" t="s">
        <v>22</v>
      </c>
      <c r="B17" s="7">
        <v>0.1</v>
      </c>
      <c r="C17" s="14" t="s">
        <v>23</v>
      </c>
    </row>
    <row r="18" spans="1:6" ht="15" customHeight="1" x14ac:dyDescent="0.2">
      <c r="A18" s="3" t="s">
        <v>24</v>
      </c>
      <c r="B18" s="7">
        <v>0.05</v>
      </c>
      <c r="C18" s="14" t="s">
        <v>25</v>
      </c>
    </row>
    <row r="19" spans="1:6" ht="15" customHeight="1" x14ac:dyDescent="0.2">
      <c r="A19" s="3" t="s">
        <v>26</v>
      </c>
      <c r="B19" s="5">
        <v>246</v>
      </c>
      <c r="C19" s="14" t="s">
        <v>27</v>
      </c>
    </row>
    <row r="20" spans="1:6" ht="15" customHeight="1" x14ac:dyDescent="0.2">
      <c r="A20" s="3" t="s">
        <v>28</v>
      </c>
      <c r="B20" s="5">
        <v>8</v>
      </c>
      <c r="C20" s="14" t="s">
        <v>29</v>
      </c>
    </row>
    <row r="22" spans="1:6" ht="15" customHeight="1" x14ac:dyDescent="0.2">
      <c r="A22" s="4" t="s">
        <v>30</v>
      </c>
      <c r="B22" s="8">
        <f>(B17*B19*B20+B18*B19*B20)/49</f>
        <v>6.0244897959183685</v>
      </c>
      <c r="C22" s="14" t="s">
        <v>31</v>
      </c>
    </row>
    <row r="24" spans="1:6" ht="15" customHeight="1" x14ac:dyDescent="0.2">
      <c r="A24" s="12" t="s">
        <v>32</v>
      </c>
      <c r="B24" s="13"/>
      <c r="C24" s="13"/>
    </row>
    <row r="25" spans="1:6" ht="15" customHeight="1" x14ac:dyDescent="0.2">
      <c r="A25" s="10" t="s">
        <v>33</v>
      </c>
      <c r="B25" s="10" t="s">
        <v>34</v>
      </c>
      <c r="C25" s="10" t="s">
        <v>19</v>
      </c>
    </row>
    <row r="26" spans="1:6" ht="15" customHeight="1" x14ac:dyDescent="0.2">
      <c r="A26" s="15" t="s">
        <v>35</v>
      </c>
      <c r="B26" s="7">
        <v>1.1499999999999999</v>
      </c>
      <c r="C26" s="14" t="s">
        <v>36</v>
      </c>
    </row>
    <row r="27" spans="1:6" ht="15" customHeight="1" x14ac:dyDescent="0.2">
      <c r="A27" s="16" t="s">
        <v>37</v>
      </c>
      <c r="B27" s="7">
        <v>0.8</v>
      </c>
      <c r="C27" s="14" t="s">
        <v>38</v>
      </c>
    </row>
    <row r="28" spans="1:6" ht="15" customHeight="1" x14ac:dyDescent="0.2">
      <c r="A28" s="17" t="s">
        <v>39</v>
      </c>
      <c r="B28" s="7">
        <v>0.6</v>
      </c>
      <c r="C28" s="14" t="s">
        <v>40</v>
      </c>
    </row>
    <row r="29" spans="1:6" ht="15" customHeight="1" x14ac:dyDescent="0.2">
      <c r="A29" s="17" t="s">
        <v>41</v>
      </c>
      <c r="B29" s="18">
        <v>0</v>
      </c>
      <c r="C29" s="14" t="s">
        <v>42</v>
      </c>
    </row>
    <row r="31" spans="1:6" ht="15" customHeight="1" x14ac:dyDescent="0.2">
      <c r="A31" s="12" t="s">
        <v>43</v>
      </c>
      <c r="B31" s="13"/>
      <c r="C31" s="13"/>
      <c r="D31" s="13"/>
      <c r="E31" s="13"/>
      <c r="F31" s="13"/>
    </row>
    <row r="32" spans="1:6" ht="15" customHeight="1" x14ac:dyDescent="0.2">
      <c r="A32" s="10" t="s">
        <v>44</v>
      </c>
      <c r="B32" s="10" t="s">
        <v>45</v>
      </c>
      <c r="C32" s="19" t="s">
        <v>46</v>
      </c>
      <c r="D32" s="11" t="s">
        <v>47</v>
      </c>
      <c r="E32" s="11" t="s">
        <v>48</v>
      </c>
      <c r="F32" s="10" t="s">
        <v>19</v>
      </c>
    </row>
    <row r="33" spans="1:6" ht="15" customHeight="1" x14ac:dyDescent="0.2">
      <c r="A33" s="3" t="s">
        <v>49</v>
      </c>
      <c r="B33" s="5" t="s">
        <v>50</v>
      </c>
      <c r="C33" s="5">
        <v>1.3</v>
      </c>
      <c r="D33" s="6">
        <v>0</v>
      </c>
      <c r="E33" s="6">
        <v>0</v>
      </c>
      <c r="F33" s="14" t="s">
        <v>51</v>
      </c>
    </row>
    <row r="34" spans="1:6" ht="15" customHeight="1" x14ac:dyDescent="0.2">
      <c r="A34" s="3" t="s">
        <v>52</v>
      </c>
      <c r="B34" s="5" t="s">
        <v>50</v>
      </c>
      <c r="C34" s="5">
        <v>1.2</v>
      </c>
      <c r="D34" s="6">
        <v>0</v>
      </c>
      <c r="E34" s="6">
        <v>0</v>
      </c>
    </row>
    <row r="35" spans="1:6" ht="15" customHeight="1" x14ac:dyDescent="0.2">
      <c r="A35" s="3" t="s">
        <v>53</v>
      </c>
      <c r="B35" s="5" t="s">
        <v>50</v>
      </c>
      <c r="C35" s="5">
        <v>1.1000000000000001</v>
      </c>
      <c r="D35" s="6">
        <v>0</v>
      </c>
      <c r="E35" s="6">
        <v>0</v>
      </c>
    </row>
    <row r="36" spans="1:6" ht="15" customHeight="1" x14ac:dyDescent="0.2">
      <c r="A36" s="3" t="s">
        <v>54</v>
      </c>
      <c r="B36" s="5" t="s">
        <v>50</v>
      </c>
      <c r="C36" s="5">
        <v>1</v>
      </c>
      <c r="D36" s="6">
        <v>0</v>
      </c>
      <c r="E36" s="6">
        <v>0</v>
      </c>
    </row>
    <row r="37" spans="1:6" ht="15" customHeight="1" x14ac:dyDescent="0.2">
      <c r="A37" s="3" t="s">
        <v>55</v>
      </c>
      <c r="B37" s="5" t="s">
        <v>50</v>
      </c>
      <c r="C37" s="5">
        <v>0.7</v>
      </c>
      <c r="D37" s="6">
        <v>0</v>
      </c>
      <c r="E37" s="6">
        <v>0</v>
      </c>
    </row>
    <row r="38" spans="1:6" ht="15" customHeight="1" x14ac:dyDescent="0.2">
      <c r="A38" s="3" t="s">
        <v>56</v>
      </c>
      <c r="B38" s="5" t="s">
        <v>57</v>
      </c>
      <c r="C38" s="5">
        <v>1</v>
      </c>
      <c r="D38" s="6">
        <v>0</v>
      </c>
      <c r="E38" s="6">
        <v>0</v>
      </c>
    </row>
    <row r="39" spans="1:6" ht="15" customHeight="1" x14ac:dyDescent="0.2">
      <c r="A39" s="3" t="s">
        <v>58</v>
      </c>
      <c r="B39" s="5" t="s">
        <v>57</v>
      </c>
      <c r="C39" s="5">
        <v>1</v>
      </c>
      <c r="D39" s="6">
        <v>0</v>
      </c>
      <c r="E39" s="6">
        <v>0</v>
      </c>
    </row>
  </sheetData>
  <dataValidations count="1">
    <dataValidation type="list" allowBlank="1" showInputMessage="1" showErrorMessage="1" errorTitle="Invalid" error="Select Yes or No" sqref="B33:B39" xr:uid="{00000000-0002-0000-0000-000000000000}">
      <formula1>"Yes,No"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D7D31"/>
  </sheetPr>
  <dimension ref="A1:L175"/>
  <sheetViews>
    <sheetView zoomScale="115" zoomScaleNormal="130" workbookViewId="0">
      <pane ySplit="1" topLeftCell="A2" activePane="bottomLeft" state="frozen"/>
      <selection pane="bottomLeft" activeCell="A2" sqref="A2"/>
    </sheetView>
  </sheetViews>
  <sheetFormatPr baseColWidth="10" defaultColWidth="8.6640625" defaultRowHeight="15" customHeight="1" outlineLevelCol="1" x14ac:dyDescent="0.2"/>
  <cols>
    <col min="1" max="1" width="20" customWidth="1"/>
    <col min="2" max="2" width="25" customWidth="1"/>
    <col min="3" max="3" width="40" customWidth="1"/>
    <col min="4" max="4" width="12" customWidth="1" outlineLevel="1"/>
    <col min="5" max="5" width="14" style="21" customWidth="1" outlineLevel="1"/>
    <col min="6" max="6" width="22" customWidth="1" outlineLevel="1"/>
    <col min="7" max="7" width="10" customWidth="1" outlineLevel="1"/>
    <col min="8" max="8" width="12" customWidth="1" outlineLevel="1"/>
    <col min="9" max="10" width="20" customWidth="1" outlineLevel="1"/>
    <col min="11" max="11" width="20" customWidth="1"/>
    <col min="12" max="12" width="19.1640625" customWidth="1"/>
  </cols>
  <sheetData>
    <row r="1" spans="1:12" ht="31.5" customHeight="1" x14ac:dyDescent="0.2">
      <c r="A1" s="1" t="s">
        <v>59</v>
      </c>
      <c r="B1" s="1" t="s">
        <v>60</v>
      </c>
      <c r="C1" s="1" t="s">
        <v>61</v>
      </c>
      <c r="D1" s="1" t="s">
        <v>62</v>
      </c>
      <c r="E1" s="20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2" t="s">
        <v>69</v>
      </c>
      <c r="L1" s="2" t="s">
        <v>1</v>
      </c>
    </row>
    <row r="2" spans="1:12" x14ac:dyDescent="0.2">
      <c r="E2"/>
    </row>
    <row r="3" spans="1:12" x14ac:dyDescent="0.2">
      <c r="E3"/>
    </row>
    <row r="4" spans="1:12" x14ac:dyDescent="0.2">
      <c r="E4"/>
    </row>
    <row r="5" spans="1:12" x14ac:dyDescent="0.2">
      <c r="E5"/>
    </row>
    <row r="6" spans="1:12" x14ac:dyDescent="0.2">
      <c r="E6"/>
    </row>
    <row r="7" spans="1:12" x14ac:dyDescent="0.2">
      <c r="E7"/>
    </row>
    <row r="8" spans="1:12" x14ac:dyDescent="0.2">
      <c r="E8"/>
    </row>
    <row r="9" spans="1:12" x14ac:dyDescent="0.2">
      <c r="E9"/>
    </row>
    <row r="10" spans="1:12" x14ac:dyDescent="0.2">
      <c r="E10"/>
    </row>
    <row r="11" spans="1:12" x14ac:dyDescent="0.2">
      <c r="E11"/>
    </row>
    <row r="12" spans="1:12" x14ac:dyDescent="0.2">
      <c r="E12"/>
    </row>
    <row r="13" spans="1:12" x14ac:dyDescent="0.2">
      <c r="E13"/>
    </row>
    <row r="14" spans="1:12" x14ac:dyDescent="0.2">
      <c r="E14"/>
    </row>
    <row r="15" spans="1:12" x14ac:dyDescent="0.2">
      <c r="E15"/>
    </row>
    <row r="16" spans="1:12" x14ac:dyDescent="0.2">
      <c r="E16"/>
    </row>
    <row r="17" spans="5:5" x14ac:dyDescent="0.2">
      <c r="E17"/>
    </row>
    <row r="18" spans="5:5" x14ac:dyDescent="0.2">
      <c r="E18"/>
    </row>
    <row r="19" spans="5:5" x14ac:dyDescent="0.2">
      <c r="E19"/>
    </row>
    <row r="20" spans="5:5" x14ac:dyDescent="0.2">
      <c r="E20"/>
    </row>
    <row r="21" spans="5:5" x14ac:dyDescent="0.2">
      <c r="E21"/>
    </row>
    <row r="22" spans="5:5" x14ac:dyDescent="0.2">
      <c r="E22"/>
    </row>
    <row r="23" spans="5:5" x14ac:dyDescent="0.2">
      <c r="E23"/>
    </row>
    <row r="24" spans="5:5" x14ac:dyDescent="0.2">
      <c r="E24"/>
    </row>
    <row r="25" spans="5:5" x14ac:dyDescent="0.2">
      <c r="E25"/>
    </row>
    <row r="26" spans="5:5" x14ac:dyDescent="0.2">
      <c r="E26"/>
    </row>
    <row r="27" spans="5:5" x14ac:dyDescent="0.2">
      <c r="E27"/>
    </row>
    <row r="28" spans="5:5" x14ac:dyDescent="0.2">
      <c r="E28"/>
    </row>
    <row r="29" spans="5:5" x14ac:dyDescent="0.2">
      <c r="E29"/>
    </row>
    <row r="30" spans="5:5" x14ac:dyDescent="0.2">
      <c r="E30"/>
    </row>
    <row r="31" spans="5:5" x14ac:dyDescent="0.2">
      <c r="E31"/>
    </row>
    <row r="32" spans="5:5" x14ac:dyDescent="0.2">
      <c r="E32"/>
    </row>
    <row r="33" spans="5:5" x14ac:dyDescent="0.2">
      <c r="E33"/>
    </row>
    <row r="34" spans="5:5" x14ac:dyDescent="0.2">
      <c r="E34"/>
    </row>
    <row r="35" spans="5:5" x14ac:dyDescent="0.2">
      <c r="E35"/>
    </row>
    <row r="36" spans="5:5" x14ac:dyDescent="0.2">
      <c r="E36"/>
    </row>
    <row r="37" spans="5:5" x14ac:dyDescent="0.2">
      <c r="E37"/>
    </row>
    <row r="38" spans="5:5" x14ac:dyDescent="0.2">
      <c r="E38"/>
    </row>
    <row r="39" spans="5:5" x14ac:dyDescent="0.2">
      <c r="E39"/>
    </row>
    <row r="40" spans="5:5" x14ac:dyDescent="0.2">
      <c r="E40"/>
    </row>
    <row r="41" spans="5:5" x14ac:dyDescent="0.2">
      <c r="E41"/>
    </row>
    <row r="42" spans="5:5" x14ac:dyDescent="0.2">
      <c r="E42"/>
    </row>
    <row r="43" spans="5:5" x14ac:dyDescent="0.2">
      <c r="E43"/>
    </row>
    <row r="44" spans="5:5" x14ac:dyDescent="0.2">
      <c r="E44"/>
    </row>
    <row r="45" spans="5:5" x14ac:dyDescent="0.2">
      <c r="E45"/>
    </row>
    <row r="46" spans="5:5" x14ac:dyDescent="0.2">
      <c r="E46"/>
    </row>
    <row r="47" spans="5:5" x14ac:dyDescent="0.2">
      <c r="E47"/>
    </row>
    <row r="48" spans="5:5" x14ac:dyDescent="0.2">
      <c r="E48"/>
    </row>
    <row r="49" spans="5:5" x14ac:dyDescent="0.2">
      <c r="E49"/>
    </row>
    <row r="50" spans="5:5" x14ac:dyDescent="0.2">
      <c r="E50"/>
    </row>
    <row r="51" spans="5:5" x14ac:dyDescent="0.2">
      <c r="E51"/>
    </row>
    <row r="52" spans="5:5" x14ac:dyDescent="0.2">
      <c r="E52"/>
    </row>
    <row r="53" spans="5:5" x14ac:dyDescent="0.2">
      <c r="E53"/>
    </row>
    <row r="54" spans="5:5" x14ac:dyDescent="0.2">
      <c r="E54"/>
    </row>
    <row r="55" spans="5:5" x14ac:dyDescent="0.2">
      <c r="E55"/>
    </row>
    <row r="56" spans="5:5" x14ac:dyDescent="0.2">
      <c r="E56"/>
    </row>
    <row r="57" spans="5:5" x14ac:dyDescent="0.2">
      <c r="E57"/>
    </row>
    <row r="58" spans="5:5" x14ac:dyDescent="0.2">
      <c r="E58"/>
    </row>
    <row r="59" spans="5:5" x14ac:dyDescent="0.2">
      <c r="E59"/>
    </row>
    <row r="60" spans="5:5" x14ac:dyDescent="0.2">
      <c r="E60"/>
    </row>
    <row r="61" spans="5:5" x14ac:dyDescent="0.2">
      <c r="E61"/>
    </row>
    <row r="62" spans="5:5" x14ac:dyDescent="0.2">
      <c r="E62"/>
    </row>
    <row r="63" spans="5:5" x14ac:dyDescent="0.2">
      <c r="E63"/>
    </row>
    <row r="64" spans="5:5" x14ac:dyDescent="0.2">
      <c r="E64"/>
    </row>
    <row r="65" spans="5:5" x14ac:dyDescent="0.2">
      <c r="E65"/>
    </row>
    <row r="66" spans="5:5" x14ac:dyDescent="0.2">
      <c r="E66"/>
    </row>
    <row r="67" spans="5:5" x14ac:dyDescent="0.2">
      <c r="E67"/>
    </row>
    <row r="68" spans="5:5" x14ac:dyDescent="0.2">
      <c r="E68"/>
    </row>
    <row r="69" spans="5:5" x14ac:dyDescent="0.2">
      <c r="E69"/>
    </row>
    <row r="70" spans="5:5" x14ac:dyDescent="0.2">
      <c r="E70"/>
    </row>
    <row r="71" spans="5:5" x14ac:dyDescent="0.2">
      <c r="E71"/>
    </row>
    <row r="72" spans="5:5" x14ac:dyDescent="0.2">
      <c r="E72"/>
    </row>
    <row r="73" spans="5:5" x14ac:dyDescent="0.2">
      <c r="E73"/>
    </row>
    <row r="74" spans="5:5" x14ac:dyDescent="0.2">
      <c r="E74"/>
    </row>
    <row r="75" spans="5:5" x14ac:dyDescent="0.2">
      <c r="E75"/>
    </row>
    <row r="76" spans="5:5" x14ac:dyDescent="0.2">
      <c r="E76"/>
    </row>
    <row r="77" spans="5:5" x14ac:dyDescent="0.2">
      <c r="E77"/>
    </row>
    <row r="78" spans="5:5" x14ac:dyDescent="0.2">
      <c r="E78"/>
    </row>
    <row r="79" spans="5:5" x14ac:dyDescent="0.2">
      <c r="E79"/>
    </row>
    <row r="80" spans="5:5" x14ac:dyDescent="0.2">
      <c r="E80"/>
    </row>
    <row r="81" spans="5:5" x14ac:dyDescent="0.2">
      <c r="E81"/>
    </row>
    <row r="82" spans="5:5" x14ac:dyDescent="0.2">
      <c r="E82"/>
    </row>
    <row r="83" spans="5:5" x14ac:dyDescent="0.2">
      <c r="E83"/>
    </row>
    <row r="84" spans="5:5" x14ac:dyDescent="0.2">
      <c r="E84"/>
    </row>
    <row r="85" spans="5:5" x14ac:dyDescent="0.2">
      <c r="E85"/>
    </row>
    <row r="86" spans="5:5" x14ac:dyDescent="0.2">
      <c r="E86"/>
    </row>
    <row r="87" spans="5:5" x14ac:dyDescent="0.2">
      <c r="E87"/>
    </row>
    <row r="88" spans="5:5" x14ac:dyDescent="0.2">
      <c r="E88"/>
    </row>
    <row r="89" spans="5:5" x14ac:dyDescent="0.2">
      <c r="E89"/>
    </row>
    <row r="90" spans="5:5" x14ac:dyDescent="0.2">
      <c r="E90"/>
    </row>
    <row r="91" spans="5:5" x14ac:dyDescent="0.2">
      <c r="E91"/>
    </row>
    <row r="92" spans="5:5" x14ac:dyDescent="0.2">
      <c r="E92"/>
    </row>
    <row r="93" spans="5:5" x14ac:dyDescent="0.2">
      <c r="E93"/>
    </row>
    <row r="94" spans="5:5" x14ac:dyDescent="0.2">
      <c r="E94"/>
    </row>
    <row r="95" spans="5:5" x14ac:dyDescent="0.2">
      <c r="E95"/>
    </row>
    <row r="96" spans="5:5" x14ac:dyDescent="0.2">
      <c r="E96"/>
    </row>
    <row r="97" spans="5:5" x14ac:dyDescent="0.2">
      <c r="E97"/>
    </row>
    <row r="98" spans="5:5" x14ac:dyDescent="0.2">
      <c r="E98"/>
    </row>
    <row r="99" spans="5:5" x14ac:dyDescent="0.2">
      <c r="E99"/>
    </row>
    <row r="100" spans="5:5" x14ac:dyDescent="0.2">
      <c r="E100"/>
    </row>
    <row r="101" spans="5:5" x14ac:dyDescent="0.2">
      <c r="E101"/>
    </row>
    <row r="102" spans="5:5" x14ac:dyDescent="0.2">
      <c r="E102"/>
    </row>
    <row r="103" spans="5:5" x14ac:dyDescent="0.2">
      <c r="E103"/>
    </row>
    <row r="104" spans="5:5" x14ac:dyDescent="0.2">
      <c r="E104"/>
    </row>
    <row r="105" spans="5:5" x14ac:dyDescent="0.2">
      <c r="E105"/>
    </row>
    <row r="106" spans="5:5" x14ac:dyDescent="0.2">
      <c r="E106"/>
    </row>
    <row r="107" spans="5:5" x14ac:dyDescent="0.2">
      <c r="E107"/>
    </row>
    <row r="108" spans="5:5" x14ac:dyDescent="0.2">
      <c r="E108"/>
    </row>
    <row r="109" spans="5:5" x14ac:dyDescent="0.2">
      <c r="E109"/>
    </row>
    <row r="110" spans="5:5" x14ac:dyDescent="0.2">
      <c r="E110"/>
    </row>
    <row r="111" spans="5:5" x14ac:dyDescent="0.2">
      <c r="E111"/>
    </row>
    <row r="112" spans="5:5" x14ac:dyDescent="0.2">
      <c r="E112"/>
    </row>
    <row r="113" spans="5:5" x14ac:dyDescent="0.2">
      <c r="E113"/>
    </row>
    <row r="114" spans="5:5" x14ac:dyDescent="0.2">
      <c r="E114"/>
    </row>
    <row r="115" spans="5:5" x14ac:dyDescent="0.2">
      <c r="E115"/>
    </row>
    <row r="116" spans="5:5" x14ac:dyDescent="0.2">
      <c r="E116"/>
    </row>
    <row r="117" spans="5:5" x14ac:dyDescent="0.2">
      <c r="E117"/>
    </row>
    <row r="118" spans="5:5" x14ac:dyDescent="0.2">
      <c r="E118"/>
    </row>
    <row r="119" spans="5:5" x14ac:dyDescent="0.2">
      <c r="E119"/>
    </row>
    <row r="120" spans="5:5" x14ac:dyDescent="0.2">
      <c r="E120"/>
    </row>
    <row r="121" spans="5:5" x14ac:dyDescent="0.2">
      <c r="E121"/>
    </row>
    <row r="122" spans="5:5" x14ac:dyDescent="0.2">
      <c r="E122"/>
    </row>
    <row r="123" spans="5:5" x14ac:dyDescent="0.2">
      <c r="E123"/>
    </row>
    <row r="124" spans="5:5" x14ac:dyDescent="0.2">
      <c r="E124"/>
    </row>
    <row r="125" spans="5:5" x14ac:dyDescent="0.2">
      <c r="E125"/>
    </row>
    <row r="126" spans="5:5" x14ac:dyDescent="0.2">
      <c r="E126"/>
    </row>
    <row r="127" spans="5:5" x14ac:dyDescent="0.2">
      <c r="E127"/>
    </row>
    <row r="128" spans="5:5" x14ac:dyDescent="0.2">
      <c r="E128"/>
    </row>
    <row r="129" spans="5:5" x14ac:dyDescent="0.2">
      <c r="E129"/>
    </row>
    <row r="130" spans="5:5" x14ac:dyDescent="0.2">
      <c r="E130"/>
    </row>
    <row r="131" spans="5:5" x14ac:dyDescent="0.2">
      <c r="E131"/>
    </row>
    <row r="132" spans="5:5" x14ac:dyDescent="0.2">
      <c r="E132"/>
    </row>
    <row r="133" spans="5:5" x14ac:dyDescent="0.2">
      <c r="E133"/>
    </row>
    <row r="134" spans="5:5" x14ac:dyDescent="0.2">
      <c r="E134"/>
    </row>
    <row r="135" spans="5:5" x14ac:dyDescent="0.2">
      <c r="E135"/>
    </row>
    <row r="136" spans="5:5" x14ac:dyDescent="0.2">
      <c r="E136"/>
    </row>
    <row r="137" spans="5:5" x14ac:dyDescent="0.2">
      <c r="E137"/>
    </row>
    <row r="138" spans="5:5" x14ac:dyDescent="0.2">
      <c r="E138"/>
    </row>
    <row r="139" spans="5:5" x14ac:dyDescent="0.2">
      <c r="E139"/>
    </row>
    <row r="140" spans="5:5" x14ac:dyDescent="0.2">
      <c r="E140"/>
    </row>
    <row r="141" spans="5:5" x14ac:dyDescent="0.2">
      <c r="E141"/>
    </row>
    <row r="142" spans="5:5" x14ac:dyDescent="0.2">
      <c r="E142"/>
    </row>
    <row r="143" spans="5:5" x14ac:dyDescent="0.2">
      <c r="E143"/>
    </row>
    <row r="144" spans="5:5" x14ac:dyDescent="0.2">
      <c r="E144"/>
    </row>
    <row r="145" spans="5:5" x14ac:dyDescent="0.2">
      <c r="E145"/>
    </row>
    <row r="146" spans="5:5" x14ac:dyDescent="0.2">
      <c r="E146"/>
    </row>
    <row r="147" spans="5:5" x14ac:dyDescent="0.2">
      <c r="E147"/>
    </row>
    <row r="148" spans="5:5" x14ac:dyDescent="0.2">
      <c r="E148"/>
    </row>
    <row r="149" spans="5:5" x14ac:dyDescent="0.2">
      <c r="E149"/>
    </row>
    <row r="150" spans="5:5" x14ac:dyDescent="0.2">
      <c r="E150"/>
    </row>
    <row r="151" spans="5:5" x14ac:dyDescent="0.2">
      <c r="E151"/>
    </row>
    <row r="152" spans="5:5" x14ac:dyDescent="0.2">
      <c r="E152"/>
    </row>
    <row r="153" spans="5:5" x14ac:dyDescent="0.2">
      <c r="E153"/>
    </row>
    <row r="154" spans="5:5" x14ac:dyDescent="0.2">
      <c r="E154"/>
    </row>
    <row r="155" spans="5:5" x14ac:dyDescent="0.2">
      <c r="E155"/>
    </row>
    <row r="156" spans="5:5" x14ac:dyDescent="0.2">
      <c r="E156"/>
    </row>
    <row r="157" spans="5:5" x14ac:dyDescent="0.2">
      <c r="E157"/>
    </row>
    <row r="158" spans="5:5" x14ac:dyDescent="0.2">
      <c r="E158"/>
    </row>
    <row r="159" spans="5:5" x14ac:dyDescent="0.2">
      <c r="E159"/>
    </row>
    <row r="160" spans="5:5" x14ac:dyDescent="0.2">
      <c r="E160"/>
    </row>
    <row r="161" spans="5:5" x14ac:dyDescent="0.2">
      <c r="E161"/>
    </row>
    <row r="162" spans="5:5" x14ac:dyDescent="0.2">
      <c r="E162"/>
    </row>
    <row r="163" spans="5:5" x14ac:dyDescent="0.2">
      <c r="E163"/>
    </row>
    <row r="164" spans="5:5" x14ac:dyDescent="0.2">
      <c r="E164"/>
    </row>
    <row r="165" spans="5:5" x14ac:dyDescent="0.2">
      <c r="E165"/>
    </row>
    <row r="166" spans="5:5" x14ac:dyDescent="0.2">
      <c r="E166"/>
    </row>
    <row r="167" spans="5:5" x14ac:dyDescent="0.2">
      <c r="E167"/>
    </row>
    <row r="168" spans="5:5" x14ac:dyDescent="0.2">
      <c r="E168"/>
    </row>
    <row r="169" spans="5:5" x14ac:dyDescent="0.2">
      <c r="E169"/>
    </row>
    <row r="170" spans="5:5" x14ac:dyDescent="0.2">
      <c r="E170"/>
    </row>
    <row r="171" spans="5:5" x14ac:dyDescent="0.2">
      <c r="E171"/>
    </row>
    <row r="172" spans="5:5" x14ac:dyDescent="0.2">
      <c r="E172"/>
    </row>
    <row r="173" spans="5:5" x14ac:dyDescent="0.2">
      <c r="E173"/>
    </row>
    <row r="174" spans="5:5" x14ac:dyDescent="0.2">
      <c r="E174"/>
    </row>
    <row r="175" spans="5:5" ht="15" customHeight="1" x14ac:dyDescent="0.2">
      <c r="E175"/>
    </row>
  </sheetData>
  <autoFilter ref="A1:L175" xr:uid="{00000000-0001-0000-0100-000000000000}"/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03692C6-7E00-E34F-A019-C967C8B2D367}">
          <x14:formula1>
            <xm:f>Inputs!$D$3:$D$14</xm:f>
          </x14:formula1>
          <xm:sqref>L2:L175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1"/>
  <sheetViews>
    <sheetView tabSelected="1" zoomScale="160" zoomScaleNormal="160" workbookViewId="0">
      <pane ySplit="3" topLeftCell="A4" activePane="bottomLeft" state="frozen"/>
      <selection pane="bottomLeft" activeCell="B5" sqref="B5"/>
    </sheetView>
  </sheetViews>
  <sheetFormatPr baseColWidth="10" defaultColWidth="11.5" defaultRowHeight="15" outlineLevelCol="1" x14ac:dyDescent="0.2"/>
  <cols>
    <col min="1" max="1" width="21.6640625" customWidth="1"/>
    <col min="2" max="2" width="15" hidden="1" customWidth="1" outlineLevel="1"/>
    <col min="3" max="4" width="11.33203125" hidden="1" customWidth="1" outlineLevel="1"/>
    <col min="5" max="5" width="10.1640625" customWidth="1" collapsed="1"/>
    <col min="6" max="8" width="10.1640625" customWidth="1"/>
    <col min="9" max="9" width="13" bestFit="1" customWidth="1"/>
    <col min="10" max="11" width="10.83203125" style="41" customWidth="1"/>
    <col min="12" max="12" width="44.33203125" style="22" customWidth="1"/>
    <col min="13" max="13" width="16.6640625" style="22" customWidth="1"/>
    <col min="14" max="14" width="21.83203125" bestFit="1" customWidth="1"/>
    <col min="15" max="15" width="61" style="22" customWidth="1"/>
  </cols>
  <sheetData>
    <row r="1" spans="1:15" ht="18" customHeight="1" x14ac:dyDescent="0.2">
      <c r="A1" s="9" t="s">
        <v>70</v>
      </c>
    </row>
    <row r="3" spans="1:15" s="25" customFormat="1" ht="42" customHeight="1" x14ac:dyDescent="0.2">
      <c r="A3" s="23" t="s">
        <v>44</v>
      </c>
      <c r="B3" s="23" t="s">
        <v>46</v>
      </c>
      <c r="C3" s="24" t="s">
        <v>47</v>
      </c>
      <c r="D3" s="24" t="s">
        <v>48</v>
      </c>
      <c r="E3" s="23" t="s">
        <v>71</v>
      </c>
      <c r="F3" s="23" t="s">
        <v>72</v>
      </c>
      <c r="G3" s="23" t="s">
        <v>73</v>
      </c>
      <c r="H3" s="23" t="s">
        <v>74</v>
      </c>
      <c r="I3" s="23" t="s">
        <v>69</v>
      </c>
      <c r="J3" s="23" t="s">
        <v>75</v>
      </c>
      <c r="K3" s="23" t="s">
        <v>76</v>
      </c>
      <c r="L3" s="23" t="s">
        <v>77</v>
      </c>
      <c r="M3" s="23" t="s">
        <v>78</v>
      </c>
      <c r="N3" s="45" t="s">
        <v>79</v>
      </c>
      <c r="O3" s="23" t="s">
        <v>80</v>
      </c>
    </row>
    <row r="4" spans="1:15" s="25" customFormat="1" ht="28" customHeight="1" x14ac:dyDescent="0.2">
      <c r="A4" s="26" t="str">
        <f t="array" ref="A4">IFERROR(INDEX(_xlfn._xlws.FILTER(Inputs!$A$33:$A$39,Inputs!$B$33:$B$39="Yes"),1),"")</f>
        <v>Justin Childs</v>
      </c>
      <c r="B4" s="27">
        <f>IF(A4="","",VLOOKUP(A4,Inputs!$A$33:$E$39,3,FALSE))</f>
        <v>1.3</v>
      </c>
      <c r="C4" s="28">
        <f>IF(A4="","",VLOOKUP(A4,Inputs!$A$33:$E$39,4,FALSE))</f>
        <v>0</v>
      </c>
      <c r="D4" s="28">
        <f>IF(A4="","",VLOOKUP(A4,Inputs!$A$33:$E$39,5,FALSE))</f>
        <v>0</v>
      </c>
      <c r="E4" s="29">
        <f t="shared" ref="E4:E10" si="0">IF(A4="","",MAX((WeeklyCapHrs-BaselineOverhead-C4-D4)*B4,0))</f>
        <v>44.16816326530612</v>
      </c>
      <c r="F4" s="29" cm="1">
        <f t="array" ref="F4">IF(A4="","",SUMPRODUCT((Deals!$A$2:$A$1000=A4)*(Deals!$K$2:$K$1000="Active")*IFERROR(INDEX(Inputs!$B$3:$B$12,MATCH(Deals!$L$2:$L$1000,Inputs!$A$3:$A$12,0))/INDEX(Inputs!$C$3:$C$12,MATCH(Deals!$L$2:$L$1000,Inputs!$A$3:$A$12,0)),0)))</f>
        <v>0</v>
      </c>
      <c r="G4" s="30">
        <f t="shared" ref="G4:G10" si="1">IF(A4="","",IF(E4&gt;0,F4/E4,""))</f>
        <v>0</v>
      </c>
      <c r="H4" s="31">
        <f t="shared" ref="H4:H10" si="2">IF(A4="","",IF(E4&gt;0,E4-F4,""))</f>
        <v>44.16816326530612</v>
      </c>
      <c r="I4" s="25" t="str">
        <f t="shared" ref="I4:I10" si="3">IF(A4="","",IF(E4=0,"INACTIVE",IF(G4&gt;Threshold_AboveCapacity,Label_AboveCapacity,IF(G4&gt;Threshold_AtCapacity,Label_AtCapacity,IF(G4&gt;Threshold_Healthy,Label_Healthy,Label_Available)))))</f>
        <v>AVAILABLE</v>
      </c>
      <c r="J4" s="42" cm="1">
        <f t="array" ref="J4">IF(A4="","",SUMPRODUCT((Deals!$A$2:$A$1000=A4)*(Deals!$K$2:$K$1000="Active")))</f>
        <v>0</v>
      </c>
      <c r="K4" s="42" cm="1">
        <f t="array" ref="K4">IF(A4="","",SUMPRODUCT(((Deals!$A$2:$A$1000=A4)*(Deals!$K$2:$K$1000="Active"))/IF((Deals!$A$2:$A$1000=A4)*(Deals!$K$2:$K$1000="Active"),COUNTIFS(Deals!$J$2:$J$1000,Deals!$J$2:$J$1000,Deals!$A$2:$A$1000,A4,Deals!$K$2:$K$1000,"Active"),1)))</f>
        <v>0</v>
      </c>
      <c r="L4" s="32" t="str" cm="1">
        <f t="array" ref="L4">IF(A4="","",_xlfn.TEXTJOIN(", ",TRUE,IF(COUNTIFS(Deals!$A$2:$A$1000,A4,Deals!$K$2:$K$1000,"Active",Deals!$L$2:$L$1000,Inputs!$A$3:$A$12)&gt;0,COUNTIFS(Deals!$A$2:$A$1000,A4,Deals!$K$2:$K$1000,"Active",Deals!$L$2:$L$1000,Inputs!$A$3:$A$12)&amp;" "&amp;Inputs!$A$3:$A$12,"")))</f>
        <v/>
      </c>
      <c r="M4" s="40" t="str" cm="1">
        <f t="array" ref="M4">IF(A4="","",IF(SUMPRODUCT((Deals!$A$2:$A$1000=A4)*(Deals!$K$2:$K$1000="Active")*Deals!$E$2:$E$1000)=0,"",IF(SUMPRODUCT((Deals!$A$2:$A$1000=A4)*(Deals!$K$2:$K$1000="Active")*Deals!$E$2:$E$1000)&gt;=1000000,TEXT(SUMPRODUCT((Deals!$A$2:$A$1000=A4)*(Deals!$K$2:$K$1000="Active")*Deals!$E$2:$E$1000)/1000000,"0.0")&amp;"M",TEXT(SUMPRODUCT((Deals!$A$2:$A$1000=A4)*(Deals!$K$2:$K$1000="Active")*Deals!$E$2:$E$1000)/1000,"0")&amp;"K")&amp;" total"&amp;CHAR(10)&amp;"["&amp;_xlfn.TEXTJOIN(", ",TRUE,IF(SUMPRODUCT((Deals!$A$2:$A$1000=A4)*(Deals!$K$2:$K$1000="Active")*(Deals!$G$2:$G$1000="NB")*Deals!$E$2:$E$1000)&gt;0,IF(SUMPRODUCT((Deals!$A$2:$A$1000=A4)*(Deals!$K$2:$K$1000="Active")*(Deals!$G$2:$G$1000="NB")*Deals!$E$2:$E$1000)&gt;=1000000,TEXT(SUMPRODUCT((Deals!$A$2:$A$1000=A4)*(Deals!$K$2:$K$1000="Active")*(Deals!$G$2:$G$1000="NB")*Deals!$E$2:$E$1000)/1000000,"0.0")&amp;"M NB",TEXT(SUMPRODUCT((Deals!$A$2:$A$1000=A4)*(Deals!$K$2:$K$1000="Active")*(Deals!$G$2:$G$1000="NB")*Deals!$E$2:$E$1000)/1000,"0")&amp;"K NB"),""),IF(SUMPRODUCT((Deals!$A$2:$A$1000=A4)*(Deals!$K$2:$K$1000="Active")*(Deals!$G$2:$G$1000="Exp")*Deals!$E$2:$E$1000)&gt;0,IF(SUMPRODUCT((Deals!$A$2:$A$1000=A4)*(Deals!$K$2:$K$1000="Active")*(Deals!$G$2:$G$1000="Exp")*Deals!$E$2:$E$1000)&gt;=1000000,TEXT(SUMPRODUCT((Deals!$A$2:$A$1000=A4)*(Deals!$K$2:$K$1000="Active")*(Deals!$G$2:$G$1000="Exp")*Deals!$E$2:$E$1000)/1000000,"0.0")&amp;"M Exp",TEXT(SUMPRODUCT((Deals!$A$2:$A$1000=A4)*(Deals!$K$2:$K$1000="Active")*(Deals!$G$2:$G$1000="Exp")*Deals!$E$2:$E$1000)/1000,"0")&amp;"K Exp"),""))&amp;"]"))</f>
        <v/>
      </c>
      <c r="N4" s="47" t="str" cm="1">
        <f t="array" ref="N4">IF(A4="","",COUNTIF(Deals!$A$2:$A$1000,A4)&amp;" opps"&amp;CHAR(10)&amp;IF(SUMPRODUCT((Deals!$A$2:$A$1000=A4)*Deals!$E$2:$E$1000)&gt;=1000000,TEXT(SUMPRODUCT((Deals!$A$2:$A$1000=A4)*Deals!$E$2:$E$1000)/1000000,"0.0")&amp;"M",TEXT(SUMPRODUCT((Deals!$A$2:$A$1000=A4)*Deals!$E$2:$E$1000)/1000,"0")&amp;"K")&amp;" total ACV")</f>
        <v>0 opps
0K total ACV</v>
      </c>
      <c r="O4" s="48" t="str" cm="1">
        <f t="array" ref="O4">IF(A4="","",_xlfn.TEXTJOIN(", ",TRUE,IF(SUMIFS(Deals!$E$2:$E$1000,Deals!$A$2:$A$1000,A4,Deals!$K$2:$K$1000,"Active",Deals!$L$2:$L$1000,Inputs!$A$3:$A$12)&gt;0,IF(SUMIFS(Deals!$E$2:$E$1000,Deals!$A$2:$A$1000,A4,Deals!$K$2:$K$1000,"Active",Deals!$L$2:$L$1000,Inputs!$A$3:$A$12)&gt;=1000000,TEXT(SUMIFS(Deals!$E$2:$E$1000,Deals!$A$2:$A$1000,A4,Deals!$K$2:$K$1000,"Active",Deals!$L$2:$L$1000,Inputs!$A$3:$A$12)/1000000,"0.0")&amp;"M "&amp;Inputs!$A$3:$A$12,TEXT(SUMIFS(Deals!$E$2:$E$1000,Deals!$A$2:$A$1000,A4,Deals!$K$2:$K$1000,"Active",Deals!$L$2:$L$1000,Inputs!$A$3:$A$12)/1000,"0")&amp;"K "&amp;Inputs!$A$3:$A$12),"")))</f>
        <v/>
      </c>
    </row>
    <row r="5" spans="1:15" s="25" customFormat="1" ht="32" customHeight="1" x14ac:dyDescent="0.2">
      <c r="A5" s="26" t="str">
        <f t="array" ref="A5">IFERROR(INDEX(_xlfn._xlws.FILTER(Inputs!$A$33:$A$39,Inputs!$B$33:$B$39="Yes"),2),"")</f>
        <v>Suzi Rodriguez</v>
      </c>
      <c r="B5" s="27">
        <f>IF(A5="","",VLOOKUP(A5,Inputs!$A$33:$E$39,3,FALSE))</f>
        <v>1.2</v>
      </c>
      <c r="C5" s="28">
        <f>IF(A5="","",VLOOKUP(A5,Inputs!$A$33:$E$39,4,FALSE))</f>
        <v>0</v>
      </c>
      <c r="D5" s="28">
        <f>IF(A5="","",VLOOKUP(A5,Inputs!$A$33:$E$39,5,FALSE))</f>
        <v>0</v>
      </c>
      <c r="E5" s="29">
        <f>IF(A5="","",MAX((WeeklyCapHrs-BaselineOverhead-C5-D5)*B5,0))</f>
        <v>40.770612244897954</v>
      </c>
      <c r="F5" s="29" cm="1">
        <f t="array" ref="F5">IF(A5="","",SUMPRODUCT((Deals!$A$2:$A$1000=A5)*(Deals!$K$2:$K$1000="Active")*IFERROR(INDEX(Inputs!$B$3:$B$12,MATCH(Deals!$L$2:$L$1000,Inputs!$A$3:$A$12,0))/INDEX(Inputs!$C$3:$C$12,MATCH(Deals!$L$2:$L$1000,Inputs!$A$3:$A$12,0)),0)))</f>
        <v>0</v>
      </c>
      <c r="G5" s="30">
        <f t="shared" si="1"/>
        <v>0</v>
      </c>
      <c r="H5" s="31">
        <f t="shared" si="2"/>
        <v>40.770612244897954</v>
      </c>
      <c r="I5" s="25" t="str">
        <f t="shared" si="3"/>
        <v>AVAILABLE</v>
      </c>
      <c r="J5" s="42" cm="1">
        <f t="array" ref="J5">IF(A5="","",SUMPRODUCT((Deals!$A$2:$A$1000=A5)*(Deals!$K$2:$K$1000="Active")))</f>
        <v>0</v>
      </c>
      <c r="K5" s="42" cm="1">
        <f t="array" ref="K5">IF(A5="","",SUMPRODUCT(((Deals!$A$2:$A$1000=A5)*(Deals!$K$2:$K$1000="Active"))/IF((Deals!$A$2:$A$1000=A5)*(Deals!$K$2:$K$1000="Active"),COUNTIFS(Deals!$J$2:$J$1000,Deals!$J$2:$J$1000,Deals!$A$2:$A$1000,A5,Deals!$K$2:$K$1000,"Active"),1)))</f>
        <v>0</v>
      </c>
      <c r="L5" s="32" t="str" cm="1">
        <f t="array" ref="L5">IF(A5="","",_xlfn.TEXTJOIN(", ",TRUE,IF(COUNTIFS(Deals!$A$2:$A$1000,A5,Deals!$K$2:$K$1000,"Active",Deals!$L$2:$L$1000,Inputs!$A$3:$A$12)&gt;0,COUNTIFS(Deals!$A$2:$A$1000,A5,Deals!$K$2:$K$1000,"Active",Deals!$L$2:$L$1000,Inputs!$A$3:$A$12)&amp;" "&amp;Inputs!$A$3:$A$12,"")))</f>
        <v/>
      </c>
      <c r="M5" s="40" t="str" cm="1">
        <f t="array" ref="M5">IF(A5="","",IF(SUMPRODUCT((Deals!$A$2:$A$1000=A5)*(Deals!$K$2:$K$1000="Active")*Deals!$E$2:$E$1000)=0,"",IF(SUMPRODUCT((Deals!$A$2:$A$1000=A5)*(Deals!$K$2:$K$1000="Active")*Deals!$E$2:$E$1000)&gt;=1000000,TEXT(SUMPRODUCT((Deals!$A$2:$A$1000=A5)*(Deals!$K$2:$K$1000="Active")*Deals!$E$2:$E$1000)/1000000,"0.0")&amp;"M",TEXT(SUMPRODUCT((Deals!$A$2:$A$1000=A5)*(Deals!$K$2:$K$1000="Active")*Deals!$E$2:$E$1000)/1000,"0")&amp;"K")&amp;" total"&amp;CHAR(10)&amp;"["&amp;_xlfn.TEXTJOIN(", ",TRUE,IF(SUMPRODUCT((Deals!$A$2:$A$1000=A5)*(Deals!$K$2:$K$1000="Active")*(Deals!$G$2:$G$1000="NB")*Deals!$E$2:$E$1000)&gt;0,IF(SUMPRODUCT((Deals!$A$2:$A$1000=A5)*(Deals!$K$2:$K$1000="Active")*(Deals!$G$2:$G$1000="NB")*Deals!$E$2:$E$1000)&gt;=1000000,TEXT(SUMPRODUCT((Deals!$A$2:$A$1000=A5)*(Deals!$K$2:$K$1000="Active")*(Deals!$G$2:$G$1000="NB")*Deals!$E$2:$E$1000)/1000000,"0.0")&amp;"M NB",TEXT(SUMPRODUCT((Deals!$A$2:$A$1000=A5)*(Deals!$K$2:$K$1000="Active")*(Deals!$G$2:$G$1000="NB")*Deals!$E$2:$E$1000)/1000,"0")&amp;"K NB"),""),IF(SUMPRODUCT((Deals!$A$2:$A$1000=A5)*(Deals!$K$2:$K$1000="Active")*(Deals!$G$2:$G$1000="Exp")*Deals!$E$2:$E$1000)&gt;0,IF(SUMPRODUCT((Deals!$A$2:$A$1000=A5)*(Deals!$K$2:$K$1000="Active")*(Deals!$G$2:$G$1000="Exp")*Deals!$E$2:$E$1000)&gt;=1000000,TEXT(SUMPRODUCT((Deals!$A$2:$A$1000=A5)*(Deals!$K$2:$K$1000="Active")*(Deals!$G$2:$G$1000="Exp")*Deals!$E$2:$E$1000)/1000000,"0.0")&amp;"M Exp",TEXT(SUMPRODUCT((Deals!$A$2:$A$1000=A5)*(Deals!$K$2:$K$1000="Active")*(Deals!$G$2:$G$1000="Exp")*Deals!$E$2:$E$1000)/1000,"0")&amp;"K Exp"),""))&amp;"]"))</f>
        <v/>
      </c>
      <c r="N5" s="47" t="str" cm="1">
        <f t="array" ref="N5">IF(A5="","",COUNTIF(Deals!$A$2:$A$1000,A5)&amp;" opps"&amp;CHAR(10)&amp;IF(SUMPRODUCT((Deals!$A$2:$A$1000=A5)*Deals!$E$2:$E$1000)&gt;=1000000,TEXT(SUMPRODUCT((Deals!$A$2:$A$1000=A5)*Deals!$E$2:$E$1000)/1000000,"0.0")&amp;"M",TEXT(SUMPRODUCT((Deals!$A$2:$A$1000=A5)*Deals!$E$2:$E$1000)/1000,"0")&amp;"K")&amp;" total ACV")</f>
        <v>0 opps
0K total ACV</v>
      </c>
      <c r="O5" s="48" t="str" cm="1">
        <f t="array" ref="O5">IF(A5="","",_xlfn.TEXTJOIN(", ",TRUE,IF(SUMIFS(Deals!$E$2:$E$1000,Deals!$A$2:$A$1000,A5,Deals!$K$2:$K$1000,"Active",Deals!$L$2:$L$1000,Inputs!$A$3:$A$12)&gt;0,IF(SUMIFS(Deals!$E$2:$E$1000,Deals!$A$2:$A$1000,A5,Deals!$K$2:$K$1000,"Active",Deals!$L$2:$L$1000,Inputs!$A$3:$A$12)&gt;=1000000,TEXT(SUMIFS(Deals!$E$2:$E$1000,Deals!$A$2:$A$1000,A5,Deals!$K$2:$K$1000,"Active",Deals!$L$2:$L$1000,Inputs!$A$3:$A$12)/1000000,"0.0")&amp;"M "&amp;Inputs!$A$3:$A$12,TEXT(SUMIFS(Deals!$E$2:$E$1000,Deals!$A$2:$A$1000,A5,Deals!$K$2:$K$1000,"Active",Deals!$L$2:$L$1000,Inputs!$A$3:$A$12)/1000,"0")&amp;"K "&amp;Inputs!$A$3:$A$12),"")))</f>
        <v/>
      </c>
    </row>
    <row r="6" spans="1:15" s="25" customFormat="1" ht="32" customHeight="1" x14ac:dyDescent="0.2">
      <c r="A6" s="26" t="str">
        <f t="array" ref="A6">IFERROR(INDEX(_xlfn._xlws.FILTER(Inputs!$A$33:$A$39,Inputs!$B$33:$B$39="Yes"),3),"")</f>
        <v>Meredith Campbell</v>
      </c>
      <c r="B6" s="27">
        <f>IF(A6="","",VLOOKUP(A6,Inputs!$A$33:$E$39,3,FALSE))</f>
        <v>1.1000000000000001</v>
      </c>
      <c r="C6" s="28">
        <f>IF(A6="","",VLOOKUP(A6,Inputs!$A$33:$E$39,4,FALSE))</f>
        <v>0</v>
      </c>
      <c r="D6" s="28">
        <f>IF(A6="","",VLOOKUP(A6,Inputs!$A$33:$E$39,5,FALSE))</f>
        <v>0</v>
      </c>
      <c r="E6" s="29">
        <f t="shared" si="0"/>
        <v>37.373061224489796</v>
      </c>
      <c r="F6" s="29" cm="1">
        <f t="array" ref="F6">IF(A6="","",SUMPRODUCT((Deals!$A$2:$A$1000=A6)*(Deals!$K$2:$K$1000="Active")*IFERROR(INDEX(Inputs!$B$3:$B$12,MATCH(Deals!$L$2:$L$1000,Inputs!$A$3:$A$12,0))/INDEX(Inputs!$C$3:$C$12,MATCH(Deals!$L$2:$L$1000,Inputs!$A$3:$A$12,0)),0)))</f>
        <v>0</v>
      </c>
      <c r="G6" s="30">
        <f t="shared" si="1"/>
        <v>0</v>
      </c>
      <c r="H6" s="31">
        <f t="shared" si="2"/>
        <v>37.373061224489796</v>
      </c>
      <c r="I6" s="25" t="str">
        <f t="shared" si="3"/>
        <v>AVAILABLE</v>
      </c>
      <c r="J6" s="42" cm="1">
        <f t="array" ref="J6">IF(A6="","",SUMPRODUCT((Deals!$A$2:$A$1000=A6)*(Deals!$K$2:$K$1000="Active")))</f>
        <v>0</v>
      </c>
      <c r="K6" s="42" cm="1">
        <f t="array" ref="K6">IF(A6="","",SUMPRODUCT(((Deals!$A$2:$A$1000=A6)*(Deals!$K$2:$K$1000="Active"))/IF((Deals!$A$2:$A$1000=A6)*(Deals!$K$2:$K$1000="Active"),COUNTIFS(Deals!$J$2:$J$1000,Deals!$J$2:$J$1000,Deals!$A$2:$A$1000,A6,Deals!$K$2:$K$1000,"Active"),1)))</f>
        <v>0</v>
      </c>
      <c r="L6" s="32" t="str" cm="1">
        <f t="array" ref="L6">IF(A6="","",_xlfn.TEXTJOIN(", ",TRUE,IF(COUNTIFS(Deals!$A$2:$A$1000,A6,Deals!$K$2:$K$1000,"Active",Deals!$L$2:$L$1000,Inputs!$A$3:$A$12)&gt;0,COUNTIFS(Deals!$A$2:$A$1000,A6,Deals!$K$2:$K$1000,"Active",Deals!$L$2:$L$1000,Inputs!$A$3:$A$12)&amp;" "&amp;Inputs!$A$3:$A$12,"")))</f>
        <v/>
      </c>
      <c r="M6" s="40" t="str" cm="1">
        <f t="array" ref="M6">IF(A6="","",IF(SUMPRODUCT((Deals!$A$2:$A$1000=A6)*(Deals!$K$2:$K$1000="Active")*Deals!$E$2:$E$1000)=0,"",IF(SUMPRODUCT((Deals!$A$2:$A$1000=A6)*(Deals!$K$2:$K$1000="Active")*Deals!$E$2:$E$1000)&gt;=1000000,TEXT(SUMPRODUCT((Deals!$A$2:$A$1000=A6)*(Deals!$K$2:$K$1000="Active")*Deals!$E$2:$E$1000)/1000000,"0.0")&amp;"M",TEXT(SUMPRODUCT((Deals!$A$2:$A$1000=A6)*(Deals!$K$2:$K$1000="Active")*Deals!$E$2:$E$1000)/1000,"0")&amp;"K")&amp;" total"&amp;CHAR(10)&amp;"["&amp;_xlfn.TEXTJOIN(", ",TRUE,IF(SUMPRODUCT((Deals!$A$2:$A$1000=A6)*(Deals!$K$2:$K$1000="Active")*(Deals!$G$2:$G$1000="NB")*Deals!$E$2:$E$1000)&gt;0,IF(SUMPRODUCT((Deals!$A$2:$A$1000=A6)*(Deals!$K$2:$K$1000="Active")*(Deals!$G$2:$G$1000="NB")*Deals!$E$2:$E$1000)&gt;=1000000,TEXT(SUMPRODUCT((Deals!$A$2:$A$1000=A6)*(Deals!$K$2:$K$1000="Active")*(Deals!$G$2:$G$1000="NB")*Deals!$E$2:$E$1000)/1000000,"0.0")&amp;"M NB",TEXT(SUMPRODUCT((Deals!$A$2:$A$1000=A6)*(Deals!$K$2:$K$1000="Active")*(Deals!$G$2:$G$1000="NB")*Deals!$E$2:$E$1000)/1000,"0")&amp;"K NB"),""),IF(SUMPRODUCT((Deals!$A$2:$A$1000=A6)*(Deals!$K$2:$K$1000="Active")*(Deals!$G$2:$G$1000="Exp")*Deals!$E$2:$E$1000)&gt;0,IF(SUMPRODUCT((Deals!$A$2:$A$1000=A6)*(Deals!$K$2:$K$1000="Active")*(Deals!$G$2:$G$1000="Exp")*Deals!$E$2:$E$1000)&gt;=1000000,TEXT(SUMPRODUCT((Deals!$A$2:$A$1000=A6)*(Deals!$K$2:$K$1000="Active")*(Deals!$G$2:$G$1000="Exp")*Deals!$E$2:$E$1000)/1000000,"0.0")&amp;"M Exp",TEXT(SUMPRODUCT((Deals!$A$2:$A$1000=A6)*(Deals!$K$2:$K$1000="Active")*(Deals!$G$2:$G$1000="Exp")*Deals!$E$2:$E$1000)/1000,"0")&amp;"K Exp"),""))&amp;"]"))</f>
        <v/>
      </c>
      <c r="N6" s="47" t="str" cm="1">
        <f t="array" ref="N6">IF(A6="","",COUNTIF(Deals!$A$2:$A$1000,A6)&amp;" opps"&amp;CHAR(10)&amp;IF(SUMPRODUCT((Deals!$A$2:$A$1000=A6)*Deals!$E$2:$E$1000)&gt;=1000000,TEXT(SUMPRODUCT((Deals!$A$2:$A$1000=A6)*Deals!$E$2:$E$1000)/1000000,"0.0")&amp;"M",TEXT(SUMPRODUCT((Deals!$A$2:$A$1000=A6)*Deals!$E$2:$E$1000)/1000,"0")&amp;"K")&amp;" total ACV")</f>
        <v>0 opps
0K total ACV</v>
      </c>
      <c r="O6" s="48" t="str" cm="1">
        <f t="array" ref="O6">IF(A6="","",_xlfn.TEXTJOIN(", ",TRUE,IF(SUMIFS(Deals!$E$2:$E$1000,Deals!$A$2:$A$1000,A6,Deals!$K$2:$K$1000,"Active",Deals!$L$2:$L$1000,Inputs!$A$3:$A$12)&gt;0,IF(SUMIFS(Deals!$E$2:$E$1000,Deals!$A$2:$A$1000,A6,Deals!$K$2:$K$1000,"Active",Deals!$L$2:$L$1000,Inputs!$A$3:$A$12)&gt;=1000000,TEXT(SUMIFS(Deals!$E$2:$E$1000,Deals!$A$2:$A$1000,A6,Deals!$K$2:$K$1000,"Active",Deals!$L$2:$L$1000,Inputs!$A$3:$A$12)/1000000,"0.0")&amp;"M "&amp;Inputs!$A$3:$A$12,TEXT(SUMIFS(Deals!$E$2:$E$1000,Deals!$A$2:$A$1000,A6,Deals!$K$2:$K$1000,"Active",Deals!$L$2:$L$1000,Inputs!$A$3:$A$12)/1000,"0")&amp;"K "&amp;Inputs!$A$3:$A$12),"")))</f>
        <v/>
      </c>
    </row>
    <row r="7" spans="1:15" s="25" customFormat="1" ht="28" customHeight="1" x14ac:dyDescent="0.2">
      <c r="A7" s="26" t="str">
        <f t="array" ref="A7">IFERROR(INDEX(_xlfn._xlws.FILTER(Inputs!$A$33:$A$39,Inputs!$B$33:$B$39="Yes"),4),"")</f>
        <v>Evan Winston</v>
      </c>
      <c r="B7" s="27">
        <f>IF(A7="","",VLOOKUP(A7,Inputs!$A$33:$E$39,3,FALSE))</f>
        <v>1</v>
      </c>
      <c r="C7" s="28">
        <f>IF(A7="","",VLOOKUP(A7,Inputs!$A$33:$E$39,4,FALSE))</f>
        <v>0</v>
      </c>
      <c r="D7" s="28">
        <f>IF(A7="","",VLOOKUP(A7,Inputs!$A$33:$E$39,5,FALSE))</f>
        <v>0</v>
      </c>
      <c r="E7" s="29">
        <f t="shared" si="0"/>
        <v>33.97551020408163</v>
      </c>
      <c r="F7" s="29" cm="1">
        <f t="array" ref="F7">IF(A7="","",SUMPRODUCT((Deals!$A$2:$A$1000=A7)*(Deals!$K$2:$K$1000="Active")*IFERROR(INDEX(Inputs!$B$3:$B$12,MATCH(Deals!$L$2:$L$1000,Inputs!$A$3:$A$12,0))/INDEX(Inputs!$C$3:$C$12,MATCH(Deals!$L$2:$L$1000,Inputs!$A$3:$A$12,0)),0)))</f>
        <v>0</v>
      </c>
      <c r="G7" s="30">
        <f t="shared" si="1"/>
        <v>0</v>
      </c>
      <c r="H7" s="31">
        <f t="shared" si="2"/>
        <v>33.97551020408163</v>
      </c>
      <c r="I7" s="25" t="str">
        <f t="shared" si="3"/>
        <v>AVAILABLE</v>
      </c>
      <c r="J7" s="42" cm="1">
        <f t="array" ref="J7">IF(A7="","",SUMPRODUCT((Deals!$A$2:$A$1000=A7)*(Deals!$K$2:$K$1000="Active")))</f>
        <v>0</v>
      </c>
      <c r="K7" s="42" cm="1">
        <f t="array" ref="K7">IF(A7="","",SUMPRODUCT(((Deals!$A$2:$A$1000=A7)*(Deals!$K$2:$K$1000="Active"))/IF((Deals!$A$2:$A$1000=A7)*(Deals!$K$2:$K$1000="Active"),COUNTIFS(Deals!$J$2:$J$1000,Deals!$J$2:$J$1000,Deals!$A$2:$A$1000,A7,Deals!$K$2:$K$1000,"Active"),1)))</f>
        <v>0</v>
      </c>
      <c r="L7" s="32" t="str" cm="1">
        <f t="array" ref="L7">IF(A7="","",_xlfn.TEXTJOIN(", ",TRUE,IF(COUNTIFS(Deals!$A$2:$A$1000,A7,Deals!$K$2:$K$1000,"Active",Deals!$L$2:$L$1000,Inputs!$A$3:$A$12)&gt;0,COUNTIFS(Deals!$A$2:$A$1000,A7,Deals!$K$2:$K$1000,"Active",Deals!$L$2:$L$1000,Inputs!$A$3:$A$12)&amp;" "&amp;Inputs!$A$3:$A$12,"")))</f>
        <v/>
      </c>
      <c r="M7" s="40" t="str" cm="1">
        <f t="array" ref="M7">IF(A7="","",IF(SUMPRODUCT((Deals!$A$2:$A$1000=A7)*(Deals!$K$2:$K$1000="Active")*Deals!$E$2:$E$1000)=0,"",IF(SUMPRODUCT((Deals!$A$2:$A$1000=A7)*(Deals!$K$2:$K$1000="Active")*Deals!$E$2:$E$1000)&gt;=1000000,TEXT(SUMPRODUCT((Deals!$A$2:$A$1000=A7)*(Deals!$K$2:$K$1000="Active")*Deals!$E$2:$E$1000)/1000000,"0.0")&amp;"M",TEXT(SUMPRODUCT((Deals!$A$2:$A$1000=A7)*(Deals!$K$2:$K$1000="Active")*Deals!$E$2:$E$1000)/1000,"0")&amp;"K")&amp;" total"&amp;CHAR(10)&amp;"["&amp;_xlfn.TEXTJOIN(", ",TRUE,IF(SUMPRODUCT((Deals!$A$2:$A$1000=A7)*(Deals!$K$2:$K$1000="Active")*(Deals!$G$2:$G$1000="NB")*Deals!$E$2:$E$1000)&gt;0,IF(SUMPRODUCT((Deals!$A$2:$A$1000=A7)*(Deals!$K$2:$K$1000="Active")*(Deals!$G$2:$G$1000="NB")*Deals!$E$2:$E$1000)&gt;=1000000,TEXT(SUMPRODUCT((Deals!$A$2:$A$1000=A7)*(Deals!$K$2:$K$1000="Active")*(Deals!$G$2:$G$1000="NB")*Deals!$E$2:$E$1000)/1000000,"0.0")&amp;"M NB",TEXT(SUMPRODUCT((Deals!$A$2:$A$1000=A7)*(Deals!$K$2:$K$1000="Active")*(Deals!$G$2:$G$1000="NB")*Deals!$E$2:$E$1000)/1000,"0")&amp;"K NB"),""),IF(SUMPRODUCT((Deals!$A$2:$A$1000=A7)*(Deals!$K$2:$K$1000="Active")*(Deals!$G$2:$G$1000="Exp")*Deals!$E$2:$E$1000)&gt;0,IF(SUMPRODUCT((Deals!$A$2:$A$1000=A7)*(Deals!$K$2:$K$1000="Active")*(Deals!$G$2:$G$1000="Exp")*Deals!$E$2:$E$1000)&gt;=1000000,TEXT(SUMPRODUCT((Deals!$A$2:$A$1000=A7)*(Deals!$K$2:$K$1000="Active")*(Deals!$G$2:$G$1000="Exp")*Deals!$E$2:$E$1000)/1000000,"0.0")&amp;"M Exp",TEXT(SUMPRODUCT((Deals!$A$2:$A$1000=A7)*(Deals!$K$2:$K$1000="Active")*(Deals!$G$2:$G$1000="Exp")*Deals!$E$2:$E$1000)/1000,"0")&amp;"K Exp"),""))&amp;"]"))</f>
        <v/>
      </c>
      <c r="N7" s="47" t="str" cm="1">
        <f t="array" ref="N7">IF(A7="","",COUNTIF(Deals!$A$2:$A$1000,A7)&amp;" opps"&amp;CHAR(10)&amp;IF(SUMPRODUCT((Deals!$A$2:$A$1000=A7)*Deals!$E$2:$E$1000)&gt;=1000000,TEXT(SUMPRODUCT((Deals!$A$2:$A$1000=A7)*Deals!$E$2:$E$1000)/1000000,"0.0")&amp;"M",TEXT(SUMPRODUCT((Deals!$A$2:$A$1000=A7)*Deals!$E$2:$E$1000)/1000,"0")&amp;"K")&amp;" total ACV")</f>
        <v>0 opps
0K total ACV</v>
      </c>
      <c r="O7" s="48" t="str" cm="1">
        <f t="array" ref="O7">IF(A7="","",_xlfn.TEXTJOIN(", ",TRUE,IF(SUMIFS(Deals!$E$2:$E$1000,Deals!$A$2:$A$1000,A7,Deals!$K$2:$K$1000,"Active",Deals!$L$2:$L$1000,Inputs!$A$3:$A$12)&gt;0,IF(SUMIFS(Deals!$E$2:$E$1000,Deals!$A$2:$A$1000,A7,Deals!$K$2:$K$1000,"Active",Deals!$L$2:$L$1000,Inputs!$A$3:$A$12)&gt;=1000000,TEXT(SUMIFS(Deals!$E$2:$E$1000,Deals!$A$2:$A$1000,A7,Deals!$K$2:$K$1000,"Active",Deals!$L$2:$L$1000,Inputs!$A$3:$A$12)/1000000,"0.0")&amp;"M "&amp;Inputs!$A$3:$A$12,TEXT(SUMIFS(Deals!$E$2:$E$1000,Deals!$A$2:$A$1000,A7,Deals!$K$2:$K$1000,"Active",Deals!$L$2:$L$1000,Inputs!$A$3:$A$12)/1000,"0")&amp;"K "&amp;Inputs!$A$3:$A$12),"")))</f>
        <v/>
      </c>
    </row>
    <row r="8" spans="1:15" s="25" customFormat="1" ht="28" customHeight="1" x14ac:dyDescent="0.2">
      <c r="A8" s="26" t="str">
        <f t="array" ref="A8">IFERROR(INDEX(_xlfn._xlws.FILTER(Inputs!$A$33:$A$39,Inputs!$B$33:$B$39="Yes"),5),"")</f>
        <v>Jose Paez</v>
      </c>
      <c r="B8" s="27">
        <f>IF(A8="","",VLOOKUP(A8,Inputs!$A$33:$E$39,3,FALSE))</f>
        <v>0.7</v>
      </c>
      <c r="C8" s="28">
        <f>IF(A8="","",VLOOKUP(A8,Inputs!$A$33:$E$39,4,FALSE))</f>
        <v>0</v>
      </c>
      <c r="D8" s="28">
        <f>IF(A8="","",VLOOKUP(A8,Inputs!$A$33:$E$39,5,FALSE))</f>
        <v>0</v>
      </c>
      <c r="E8" s="29">
        <f t="shared" si="0"/>
        <v>23.782857142857139</v>
      </c>
      <c r="F8" s="29" cm="1">
        <f t="array" ref="F8">IF(A8="","",SUMPRODUCT((Deals!$A$2:$A$1000=A8)*(Deals!$K$2:$K$1000="Active")*IFERROR(INDEX(Inputs!$B$3:$B$12,MATCH(Deals!$L$2:$L$1000,Inputs!$A$3:$A$12,0))/INDEX(Inputs!$C$3:$C$12,MATCH(Deals!$L$2:$L$1000,Inputs!$A$3:$A$12,0)),0)))</f>
        <v>0</v>
      </c>
      <c r="G8" s="30">
        <f t="shared" si="1"/>
        <v>0</v>
      </c>
      <c r="H8" s="31">
        <f t="shared" si="2"/>
        <v>23.782857142857139</v>
      </c>
      <c r="I8" s="25" t="str">
        <f t="shared" si="3"/>
        <v>AVAILABLE</v>
      </c>
      <c r="J8" s="42" cm="1">
        <f t="array" ref="J8">IF(A8="","",SUMPRODUCT((Deals!$A$2:$A$1000=A8)*(Deals!$K$2:$K$1000="Active")))</f>
        <v>0</v>
      </c>
      <c r="K8" s="42" cm="1">
        <f t="array" ref="K8">IF(A8="","",SUMPRODUCT(((Deals!$A$2:$A$1000=A8)*(Deals!$K$2:$K$1000="Active"))/IF((Deals!$A$2:$A$1000=A8)*(Deals!$K$2:$K$1000="Active"),COUNTIFS(Deals!$J$2:$J$1000,Deals!$J$2:$J$1000,Deals!$A$2:$A$1000,A8,Deals!$K$2:$K$1000,"Active"),1)))</f>
        <v>0</v>
      </c>
      <c r="L8" s="32" t="str" cm="1">
        <f t="array" ref="L8">IF(A8="","",_xlfn.TEXTJOIN(", ",TRUE,IF(COUNTIFS(Deals!$A$2:$A$1000,A8,Deals!$K$2:$K$1000,"Active",Deals!$L$2:$L$1000,Inputs!$A$3:$A$12)&gt;0,COUNTIFS(Deals!$A$2:$A$1000,A8,Deals!$K$2:$K$1000,"Active",Deals!$L$2:$L$1000,Inputs!$A$3:$A$12)&amp;" "&amp;Inputs!$A$3:$A$12,"")))</f>
        <v/>
      </c>
      <c r="M8" s="40" t="str" cm="1">
        <f t="array" ref="M8">IF(A8="","",IF(SUMPRODUCT((Deals!$A$2:$A$1000=A8)*(Deals!$K$2:$K$1000="Active")*Deals!$E$2:$E$1000)=0,"",IF(SUMPRODUCT((Deals!$A$2:$A$1000=A8)*(Deals!$K$2:$K$1000="Active")*Deals!$E$2:$E$1000)&gt;=1000000,TEXT(SUMPRODUCT((Deals!$A$2:$A$1000=A8)*(Deals!$K$2:$K$1000="Active")*Deals!$E$2:$E$1000)/1000000,"0.0")&amp;"M",TEXT(SUMPRODUCT((Deals!$A$2:$A$1000=A8)*(Deals!$K$2:$K$1000="Active")*Deals!$E$2:$E$1000)/1000,"0")&amp;"K")&amp;" total"&amp;CHAR(10)&amp;"["&amp;_xlfn.TEXTJOIN(", ",TRUE,IF(SUMPRODUCT((Deals!$A$2:$A$1000=A8)*(Deals!$K$2:$K$1000="Active")*(Deals!$G$2:$G$1000="NB")*Deals!$E$2:$E$1000)&gt;0,IF(SUMPRODUCT((Deals!$A$2:$A$1000=A8)*(Deals!$K$2:$K$1000="Active")*(Deals!$G$2:$G$1000="NB")*Deals!$E$2:$E$1000)&gt;=1000000,TEXT(SUMPRODUCT((Deals!$A$2:$A$1000=A8)*(Deals!$K$2:$K$1000="Active")*(Deals!$G$2:$G$1000="NB")*Deals!$E$2:$E$1000)/1000000,"0.0")&amp;"M NB",TEXT(SUMPRODUCT((Deals!$A$2:$A$1000=A8)*(Deals!$K$2:$K$1000="Active")*(Deals!$G$2:$G$1000="NB")*Deals!$E$2:$E$1000)/1000,"0")&amp;"K NB"),""),IF(SUMPRODUCT((Deals!$A$2:$A$1000=A8)*(Deals!$K$2:$K$1000="Active")*(Deals!$G$2:$G$1000="Exp")*Deals!$E$2:$E$1000)&gt;0,IF(SUMPRODUCT((Deals!$A$2:$A$1000=A8)*(Deals!$K$2:$K$1000="Active")*(Deals!$G$2:$G$1000="Exp")*Deals!$E$2:$E$1000)&gt;=1000000,TEXT(SUMPRODUCT((Deals!$A$2:$A$1000=A8)*(Deals!$K$2:$K$1000="Active")*(Deals!$G$2:$G$1000="Exp")*Deals!$E$2:$E$1000)/1000000,"0.0")&amp;"M Exp",TEXT(SUMPRODUCT((Deals!$A$2:$A$1000=A8)*(Deals!$K$2:$K$1000="Active")*(Deals!$G$2:$G$1000="Exp")*Deals!$E$2:$E$1000)/1000,"0")&amp;"K Exp"),""))&amp;"]"))</f>
        <v/>
      </c>
      <c r="N8" s="47" t="str" cm="1">
        <f t="array" ref="N8">IF(A8="","",COUNTIF(Deals!$A$2:$A$1000,A8)&amp;" opps"&amp;CHAR(10)&amp;IF(SUMPRODUCT((Deals!$A$2:$A$1000=A8)*Deals!$E$2:$E$1000)&gt;=1000000,TEXT(SUMPRODUCT((Deals!$A$2:$A$1000=A8)*Deals!$E$2:$E$1000)/1000000,"0.0")&amp;"M",TEXT(SUMPRODUCT((Deals!$A$2:$A$1000=A8)*Deals!$E$2:$E$1000)/1000,"0")&amp;"K")&amp;" total ACV")</f>
        <v>0 opps
0K total ACV</v>
      </c>
      <c r="O8" s="48" t="str" cm="1">
        <f t="array" ref="O8">IF(A8="","",_xlfn.TEXTJOIN(", ",TRUE,IF(SUMIFS(Deals!$E$2:$E$1000,Deals!$A$2:$A$1000,A8,Deals!$K$2:$K$1000,"Active",Deals!$L$2:$L$1000,Inputs!$A$3:$A$12)&gt;0,IF(SUMIFS(Deals!$E$2:$E$1000,Deals!$A$2:$A$1000,A8,Deals!$K$2:$K$1000,"Active",Deals!$L$2:$L$1000,Inputs!$A$3:$A$12)&gt;=1000000,TEXT(SUMIFS(Deals!$E$2:$E$1000,Deals!$A$2:$A$1000,A8,Deals!$K$2:$K$1000,"Active",Deals!$L$2:$L$1000,Inputs!$A$3:$A$12)/1000000,"0.0")&amp;"M "&amp;Inputs!$A$3:$A$12,TEXT(SUMIFS(Deals!$E$2:$E$1000,Deals!$A$2:$A$1000,A8,Deals!$K$2:$K$1000,"Active",Deals!$L$2:$L$1000,Inputs!$A$3:$A$12)/1000,"0")&amp;"K "&amp;Inputs!$A$3:$A$12),"")))</f>
        <v/>
      </c>
    </row>
    <row r="9" spans="1:15" s="25" customFormat="1" ht="16" customHeight="1" x14ac:dyDescent="0.2">
      <c r="A9" s="26" t="str">
        <f t="array" ref="A9">IFERROR(INDEX(_xlfn._xlws.FILTER(Inputs!$A$33:$A$39,Inputs!$B$33:$B$39="Yes"),6),"")</f>
        <v/>
      </c>
      <c r="B9" s="27" t="str">
        <f>IF(A9="","",VLOOKUP(A9,Inputs!$A$33:$E$39,3,FALSE))</f>
        <v/>
      </c>
      <c r="C9" s="28" t="str">
        <f>IF(A9="","",VLOOKUP(A9,Inputs!$A$33:$E$39,4,FALSE))</f>
        <v/>
      </c>
      <c r="D9" s="28" t="str">
        <f>IF(A9="","",VLOOKUP(A9,Inputs!$A$33:$E$39,5,FALSE))</f>
        <v/>
      </c>
      <c r="E9" s="29" t="str">
        <f t="shared" si="0"/>
        <v/>
      </c>
      <c r="F9" s="29" t="str" cm="1">
        <f t="array" ref="F9">IF(A9="","",SUMPRODUCT((Deals!$A$2:$A$1000=A9)*(Deals!$K$2:$K$1000="Active")*IFERROR(INDEX(Inputs!$B$3:$B$12,MATCH(Deals!$L$2:$L$1000,Inputs!$A$3:$A$12,0))/INDEX(Inputs!$C$3:$C$12,MATCH(Deals!$L$2:$L$1000,Inputs!$A$3:$A$12,0)),0)))</f>
        <v/>
      </c>
      <c r="G9" s="30" t="str">
        <f t="shared" si="1"/>
        <v/>
      </c>
      <c r="H9" s="31" t="str">
        <f t="shared" si="2"/>
        <v/>
      </c>
      <c r="I9" s="25" t="str">
        <f t="shared" si="3"/>
        <v/>
      </c>
      <c r="J9" s="42" t="str" cm="1">
        <f t="array" ref="J9">IF(A9="","",SUMPRODUCT((Deals!$A$2:$A$1000=A9)*(Deals!$K$2:$K$1000="Active")))</f>
        <v/>
      </c>
      <c r="K9" s="42" t="str" cm="1">
        <f t="array" ref="K9">IF(A9="","",SUMPRODUCT(((Deals!$A$2:$A$1000=A9)*(Deals!$K$2:$K$1000="Active"))/IF((Deals!$A$2:$A$1000=A9)*(Deals!$K$2:$K$1000="Active"),COUNTIFS(Deals!$J$2:$J$1000,Deals!$J$2:$J$1000,Deals!$A$2:$A$1000,A9,Deals!$K$2:$K$1000,"Active"),1)))</f>
        <v/>
      </c>
      <c r="L9" s="32" t="str" cm="1">
        <f t="array" ref="L9">IF(A9="","",_xlfn.TEXTJOIN(", ",TRUE,IF(COUNTIFS(Deals!$A$2:$A$1000,A9,Deals!$K$2:$K$1000,"Active",Deals!$L$2:$L$1000,Inputs!$A$3:$A$12)&gt;0,COUNTIFS(Deals!$A$2:$A$1000,A9,Deals!$K$2:$K$1000,"Active",Deals!$L$2:$L$1000,Inputs!$A$3:$A$12)&amp;" "&amp;Inputs!$A$3:$A$12,"")))</f>
        <v/>
      </c>
      <c r="M9" s="40" t="str" cm="1">
        <f t="array" ref="M9">IF(A9="","",IF(SUMPRODUCT((Deals!$A$2:$A$1000=A9)*(Deals!$K$2:$K$1000="Active")*Deals!$E$2:$E$1000)=0,"",IF(SUMPRODUCT((Deals!$A$2:$A$1000=A9)*(Deals!$K$2:$K$1000="Active")*Deals!$E$2:$E$1000)&gt;=1000000,TEXT(SUMPRODUCT((Deals!$A$2:$A$1000=A9)*(Deals!$K$2:$K$1000="Active")*Deals!$E$2:$E$1000)/1000000,"0.0")&amp;"M",TEXT(SUMPRODUCT((Deals!$A$2:$A$1000=A9)*(Deals!$K$2:$K$1000="Active")*Deals!$E$2:$E$1000)/1000,"0")&amp;"K")&amp;" total"&amp;CHAR(10)&amp;"["&amp;_xlfn.TEXTJOIN(", ",TRUE,IF(SUMPRODUCT((Deals!$A$2:$A$1000=A9)*(Deals!$K$2:$K$1000="Active")*(Deals!$G$2:$G$1000="NB")*Deals!$E$2:$E$1000)&gt;0,IF(SUMPRODUCT((Deals!$A$2:$A$1000=A9)*(Deals!$K$2:$K$1000="Active")*(Deals!$G$2:$G$1000="NB")*Deals!$E$2:$E$1000)&gt;=1000000,TEXT(SUMPRODUCT((Deals!$A$2:$A$1000=A9)*(Deals!$K$2:$K$1000="Active")*(Deals!$G$2:$G$1000="NB")*Deals!$E$2:$E$1000)/1000000,"0.0")&amp;"M NB",TEXT(SUMPRODUCT((Deals!$A$2:$A$1000=A9)*(Deals!$K$2:$K$1000="Active")*(Deals!$G$2:$G$1000="NB")*Deals!$E$2:$E$1000)/1000,"0")&amp;"K NB"),""),IF(SUMPRODUCT((Deals!$A$2:$A$1000=A9)*(Deals!$K$2:$K$1000="Active")*(Deals!$G$2:$G$1000="Exp")*Deals!$E$2:$E$1000)&gt;0,IF(SUMPRODUCT((Deals!$A$2:$A$1000=A9)*(Deals!$K$2:$K$1000="Active")*(Deals!$G$2:$G$1000="Exp")*Deals!$E$2:$E$1000)&gt;=1000000,TEXT(SUMPRODUCT((Deals!$A$2:$A$1000=A9)*(Deals!$K$2:$K$1000="Active")*(Deals!$G$2:$G$1000="Exp")*Deals!$E$2:$E$1000)/1000000,"0.0")&amp;"M Exp",TEXT(SUMPRODUCT((Deals!$A$2:$A$1000=A9)*(Deals!$K$2:$K$1000="Active")*(Deals!$G$2:$G$1000="Exp")*Deals!$E$2:$E$1000)/1000,"0")&amp;"K Exp"),""))&amp;"]"))</f>
        <v/>
      </c>
      <c r="N9" s="47" t="str" cm="1">
        <f t="array" ref="N9">IF(A9="","",COUNTIF(Deals!$A$2:$A$1000,A9)&amp;" opps"&amp;CHAR(10)&amp;IF(SUMPRODUCT((Deals!$A$2:$A$1000=A9)*Deals!$E$2:$E$1000)&gt;=1000000,TEXT(SUMPRODUCT((Deals!$A$2:$A$1000=A9)*Deals!$E$2:$E$1000)/1000000,"0.0")&amp;"M",TEXT(SUMPRODUCT((Deals!$A$2:$A$1000=A9)*Deals!$E$2:$E$1000)/1000,"0")&amp;"K")&amp;" total ACV")</f>
        <v/>
      </c>
      <c r="O9" s="48" t="str" cm="1">
        <f t="array" ref="O9">IF(A9="","",_xlfn.TEXTJOIN(", ",TRUE,IF(SUMIFS(Deals!$E$2:$E$1000,Deals!$A$2:$A$1000,A9,Deals!$K$2:$K$1000,"Active",Deals!$L$2:$L$1000,Inputs!$A$3:$A$12)&gt;0,IF(SUMIFS(Deals!$E$2:$E$1000,Deals!$A$2:$A$1000,A9,Deals!$K$2:$K$1000,"Active",Deals!$L$2:$L$1000,Inputs!$A$3:$A$12)&gt;=1000000,TEXT(SUMIFS(Deals!$E$2:$E$1000,Deals!$A$2:$A$1000,A9,Deals!$K$2:$K$1000,"Active",Deals!$L$2:$L$1000,Inputs!$A$3:$A$12)/1000000,"0.0")&amp;"M "&amp;Inputs!$A$3:$A$12,TEXT(SUMIFS(Deals!$E$2:$E$1000,Deals!$A$2:$A$1000,A9,Deals!$K$2:$K$1000,"Active",Deals!$L$2:$L$1000,Inputs!$A$3:$A$12)/1000,"0")&amp;"K "&amp;Inputs!$A$3:$A$12),"")))</f>
        <v/>
      </c>
    </row>
    <row r="10" spans="1:15" s="25" customFormat="1" ht="16" customHeight="1" x14ac:dyDescent="0.2">
      <c r="A10" s="26" t="str">
        <f t="array" ref="A10">IFERROR(INDEX(_xlfn._xlws.FILTER(Inputs!$A$33:$A$39,Inputs!$B$33:$B$39="Yes"),7),"")</f>
        <v/>
      </c>
      <c r="B10" s="27" t="str">
        <f>IF(A10="","",VLOOKUP(A10,Inputs!$A$33:$E$39,3,FALSE))</f>
        <v/>
      </c>
      <c r="C10" s="28" t="str">
        <f>IF(A10="","",VLOOKUP(A10,Inputs!$A$33:$E$39,4,FALSE))</f>
        <v/>
      </c>
      <c r="D10" s="28" t="str">
        <f>IF(A10="","",VLOOKUP(A10,Inputs!$A$33:$E$39,5,FALSE))</f>
        <v/>
      </c>
      <c r="E10" s="29" t="str">
        <f t="shared" si="0"/>
        <v/>
      </c>
      <c r="F10" s="29" t="str" cm="1">
        <f t="array" ref="F10">IF(A10="","",SUMPRODUCT((Deals!$A$2:$A$1000=A10)*(Deals!$K$2:$K$1000="Active")*IFERROR(INDEX(Inputs!$B$3:$B$12,MATCH(Deals!$L$2:$L$1000,Inputs!$A$3:$A$12,0))/INDEX(Inputs!$C$3:$C$12,MATCH(Deals!$L$2:$L$1000,Inputs!$A$3:$A$12,0)),0)))</f>
        <v/>
      </c>
      <c r="G10" s="30" t="str">
        <f t="shared" si="1"/>
        <v/>
      </c>
      <c r="H10" s="31" t="str">
        <f t="shared" si="2"/>
        <v/>
      </c>
      <c r="I10" s="25" t="str">
        <f t="shared" si="3"/>
        <v/>
      </c>
      <c r="J10" s="42" t="str" cm="1">
        <f t="array" ref="J10">IF(A10="","",SUMPRODUCT((Deals!$A$2:$A$1000=A10)*(Deals!$K$2:$K$1000="Active")))</f>
        <v/>
      </c>
      <c r="K10" s="42" t="str" cm="1">
        <f t="array" ref="K10">IF(A10="","",SUMPRODUCT(((Deals!$A$2:$A$1000=A10)*(Deals!$K$2:$K$1000="Active"))/IF((Deals!$A$2:$A$1000=A10)*(Deals!$K$2:$K$1000="Active"),COUNTIFS(Deals!$J$2:$J$1000,Deals!$J$2:$J$1000,Deals!$A$2:$A$1000,A10,Deals!$K$2:$K$1000,"Active"),1)))</f>
        <v/>
      </c>
      <c r="L10" s="32" t="str" cm="1">
        <f t="array" ref="L10">IF(A10="","",_xlfn.TEXTJOIN(", ",TRUE,IF(COUNTIFS(Deals!$A$2:$A$1000,A10,Deals!$K$2:$K$1000,"Active",Deals!$L$2:$L$1000,Inputs!$A$3:$A$12)&gt;0,COUNTIFS(Deals!$A$2:$A$1000,A10,Deals!$K$2:$K$1000,"Active",Deals!$L$2:$L$1000,Inputs!$A$3:$A$12)&amp;" "&amp;Inputs!$A$3:$A$12,"")))</f>
        <v/>
      </c>
      <c r="M10" s="40" t="str" cm="1">
        <f t="array" ref="M10">IF(A10="","",IF(SUMPRODUCT((Deals!$A$2:$A$1000=A10)*(Deals!$K$2:$K$1000="Active")*Deals!$E$2:$E$1000)=0,"",IF(SUMPRODUCT((Deals!$A$2:$A$1000=A10)*(Deals!$K$2:$K$1000="Active")*Deals!$E$2:$E$1000)&gt;=1000000,TEXT(SUMPRODUCT((Deals!$A$2:$A$1000=A10)*(Deals!$K$2:$K$1000="Active")*Deals!$E$2:$E$1000)/1000000,"0.0")&amp;"M",TEXT(SUMPRODUCT((Deals!$A$2:$A$1000=A10)*(Deals!$K$2:$K$1000="Active")*Deals!$E$2:$E$1000)/1000,"0")&amp;"K")&amp;" total"&amp;CHAR(10)&amp;"["&amp;_xlfn.TEXTJOIN(", ",TRUE,IF(SUMPRODUCT((Deals!$A$2:$A$1000=A10)*(Deals!$K$2:$K$1000="Active")*(Deals!$G$2:$G$1000="NB")*Deals!$E$2:$E$1000)&gt;0,IF(SUMPRODUCT((Deals!$A$2:$A$1000=A10)*(Deals!$K$2:$K$1000="Active")*(Deals!$G$2:$G$1000="NB")*Deals!$E$2:$E$1000)&gt;=1000000,TEXT(SUMPRODUCT((Deals!$A$2:$A$1000=A10)*(Deals!$K$2:$K$1000="Active")*(Deals!$G$2:$G$1000="NB")*Deals!$E$2:$E$1000)/1000000,"0.0")&amp;"M NB",TEXT(SUMPRODUCT((Deals!$A$2:$A$1000=A10)*(Deals!$K$2:$K$1000="Active")*(Deals!$G$2:$G$1000="NB")*Deals!$E$2:$E$1000)/1000,"0")&amp;"K NB"),""),IF(SUMPRODUCT((Deals!$A$2:$A$1000=A10)*(Deals!$K$2:$K$1000="Active")*(Deals!$G$2:$G$1000="Exp")*Deals!$E$2:$E$1000)&gt;0,IF(SUMPRODUCT((Deals!$A$2:$A$1000=A10)*(Deals!$K$2:$K$1000="Active")*(Deals!$G$2:$G$1000="Exp")*Deals!$E$2:$E$1000)&gt;=1000000,TEXT(SUMPRODUCT((Deals!$A$2:$A$1000=A10)*(Deals!$K$2:$K$1000="Active")*(Deals!$G$2:$G$1000="Exp")*Deals!$E$2:$E$1000)/1000000,"0.0")&amp;"M Exp",TEXT(SUMPRODUCT((Deals!$A$2:$A$1000=A10)*(Deals!$K$2:$K$1000="Active")*(Deals!$G$2:$G$1000="Exp")*Deals!$E$2:$E$1000)/1000,"0")&amp;"K Exp"),""))&amp;"]"))</f>
        <v/>
      </c>
      <c r="N10" s="47" t="str" cm="1">
        <f t="array" ref="N10">IF(A10="","",COUNTIF(Deals!$A$2:$A$1000,A10)&amp;" opps"&amp;CHAR(10)&amp;IF(SUMPRODUCT((Deals!$A$2:$A$1000=A10)*Deals!$E$2:$E$1000)&gt;=1000000,TEXT(SUMPRODUCT((Deals!$A$2:$A$1000=A10)*Deals!$E$2:$E$1000)/1000000,"0.0")&amp;"M",TEXT(SUMPRODUCT((Deals!$A$2:$A$1000=A10)*Deals!$E$2:$E$1000)/1000,"0")&amp;"K")&amp;" total ACV")</f>
        <v/>
      </c>
      <c r="O10" s="48" t="str" cm="1">
        <f t="array" ref="O10">IF(A10="","",_xlfn.TEXTJOIN(", ",TRUE,IF(SUMIFS(Deals!$E$2:$E$1000,Deals!$A$2:$A$1000,A10,Deals!$K$2:$K$1000,"Active",Deals!$L$2:$L$1000,Inputs!$A$3:$A$12)&gt;0,IF(SUMIFS(Deals!$E$2:$E$1000,Deals!$A$2:$A$1000,A10,Deals!$K$2:$K$1000,"Active",Deals!$L$2:$L$1000,Inputs!$A$3:$A$12)&gt;=1000000,TEXT(SUMIFS(Deals!$E$2:$E$1000,Deals!$A$2:$A$1000,A10,Deals!$K$2:$K$1000,"Active",Deals!$L$2:$L$1000,Inputs!$A$3:$A$12)/1000000,"0.0")&amp;"M "&amp;Inputs!$A$3:$A$12,TEXT(SUMIFS(Deals!$E$2:$E$1000,Deals!$A$2:$A$1000,A10,Deals!$K$2:$K$1000,"Active",Deals!$L$2:$L$1000,Inputs!$A$3:$A$12)/1000,"0")&amp;"K "&amp;Inputs!$A$3:$A$12),"")))</f>
        <v/>
      </c>
    </row>
    <row r="11" spans="1:15" s="25" customFormat="1" ht="42" customHeight="1" x14ac:dyDescent="0.2">
      <c r="A11" s="33" t="s">
        <v>81</v>
      </c>
      <c r="B11" s="34">
        <f>SUM(B4:B10)</f>
        <v>5.3</v>
      </c>
      <c r="C11" s="35">
        <f>SUM(C4:C10)</f>
        <v>0</v>
      </c>
      <c r="D11" s="35">
        <f>SUM(D4:D10)</f>
        <v>0</v>
      </c>
      <c r="E11" s="35">
        <f>SUM(E4:E10)</f>
        <v>180.07020408163265</v>
      </c>
      <c r="F11" s="35">
        <f>SUM(F4:F10)</f>
        <v>0</v>
      </c>
      <c r="G11" s="36">
        <f>IF(E11&gt;0,F11/E11,"")</f>
        <v>0</v>
      </c>
      <c r="H11" s="35">
        <f>IF(E11&gt;0,E11-F11,"")</f>
        <v>180.07020408163265</v>
      </c>
      <c r="I11" s="37" t="str">
        <f>IF(E11=0,"INACTIVE",IF(G11&gt;Threshold_AboveCapacity,Label_AboveCapacity,IF(G11&gt;Threshold_AtCapacity,Label_AtCapacity,IF(G11&gt;Threshold_Healthy,Label_Healthy,Label_Available))))</f>
        <v>AVAILABLE</v>
      </c>
      <c r="J11" s="38">
        <f>SUM(J4:J10)</f>
        <v>0</v>
      </c>
      <c r="K11" s="43" t="str" cm="1">
        <f t="array" ref="K11">ROUNDUP(SUM(K4:K10)/SUMPRODUCT((LEN(A4:A10)&gt;0)*1),0)&amp;":1"</f>
        <v>0:1</v>
      </c>
      <c r="L11" s="39" t="str" cm="1">
        <f t="array" ref="L11">_xlfn.TEXTJOIN(", ",TRUE,IF(COUNTIFS(Deals!$K$2:$K$1000,"Active",Deals!$L$2:$L$1000,Inputs!$A$3:$A$12)&gt;0,COUNTIFS(Deals!$K$2:$K$1000,"Active",Deals!$L$2:$L$1000,Inputs!$A$3:$A$12)&amp;" "&amp;Inputs!$A$3:$A$12,""))</f>
        <v/>
      </c>
      <c r="M11" s="39" t="str" cm="1">
        <f t="array" ref="M11">IF(SUMPRODUCT((Deals!$K$2:$K$1000="Active")*Deals!$E$2:$E$1000)=0,"",IF(SUMPRODUCT((Deals!$K$2:$K$1000="Active")*Deals!$E$2:$E$1000)&gt;=1000000,TEXT(SUMPRODUCT((Deals!$K$2:$K$1000="Active")*Deals!$E$2:$E$1000)/1000000,"0.0")&amp;"M",TEXT(SUMPRODUCT((Deals!$K$2:$K$1000="Active")*Deals!$E$2:$E$1000)/1000,"0")&amp;"K")&amp;" total"&amp;CHAR(10)&amp;"["&amp;_xlfn.TEXTJOIN(", ",TRUE,IF(SUMPRODUCT((Deals!$K$2:$K$1000="Active")*(Deals!$G$2:$G$1000="NB")*Deals!$E$2:$E$1000)&gt;0,IF(SUMPRODUCT((Deals!$K$2:$K$1000="Active")*(Deals!$G$2:$G$1000="NB")*Deals!$E$2:$E$1000)&gt;=1000000,TEXT(SUMPRODUCT((Deals!$K$2:$K$1000="Active")*(Deals!$G$2:$G$1000="NB")*Deals!$E$2:$E$1000)/1000000,"0.0")&amp;"M NB",TEXT(SUMPRODUCT((Deals!$K$2:$K$1000="Active")*(Deals!$G$2:$G$1000="NB")*Deals!$E$2:$E$1000)/1000,"0")&amp;"K NB"),""),IF(SUMPRODUCT((Deals!$K$2:$K$1000="Active")*(Deals!$G$2:$G$1000="Exp")*Deals!$E$2:$E$1000)&gt;0,IF(SUMPRODUCT((Deals!$K$2:$K$1000="Active")*(Deals!$G$2:$G$1000="Exp")*Deals!$E$2:$E$1000)&gt;=1000000,TEXT(SUMPRODUCT((Deals!$K$2:$K$1000="Active")*(Deals!$G$2:$G$1000="Exp")*Deals!$E$2:$E$1000)/1000000,"0.0")&amp;"M Exp",TEXT(SUMPRODUCT((Deals!$K$2:$K$1000="Active")*(Deals!$G$2:$G$1000="Exp")*Deals!$E$2:$E$1000)/1000,"0")&amp;"K Exp"),""))&amp;"]")</f>
        <v/>
      </c>
      <c r="N11" s="46" t="str">
        <f>COUNTA(Deals!$A$2:$A$1000)&amp;" opps"&amp;CHAR(10)&amp;IF(SUM(Deals!$E$2:$E$1000)&gt;=1000000,TEXT(SUM(Deals!$E$2:$E$1000)/1000000,"0.0")&amp;"M",TEXT(SUM(Deals!$E$2:$E$1000)/1000,"0")&amp;"K")&amp;" total ACV"</f>
        <v>0 opps
0K total ACV</v>
      </c>
      <c r="O11" s="39" t="str" cm="1">
        <f t="array" ref="O11">_xlfn.TEXTJOIN(", ",TRUE,IF(SUMIFS(Deals!$E$2:$E$1000,Deals!$K$2:$K$1000,"Active",Deals!$L$2:$L$1000,Inputs!$A$3:$A$12)&gt;0,IF(SUMIFS(Deals!$E$2:$E$1000,Deals!$K$2:$K$1000,"Active",Deals!$L$2:$L$1000,Inputs!$A$3:$A$12)&gt;=1000000,TEXT(SUMIFS(Deals!$E$2:$E$1000,Deals!$K$2:$K$1000,"Active",Deals!$L$2:$L$1000,Inputs!$A$3:$A$12)/1000000,"0.0")&amp;"M "&amp;Inputs!$A$3:$A$12,TEXT(SUMIFS(Deals!$E$2:$E$1000,Deals!$K$2:$K$1000,"Active",Deals!$L$2:$L$1000,Inputs!$A$3:$A$12)/1000,"0")&amp;"K "&amp;Inputs!$A$3:$A$12),""))</f>
        <v/>
      </c>
    </row>
  </sheetData>
  <conditionalFormatting sqref="I4:I11">
    <cfRule type="containsText" dxfId="4" priority="1" operator="containsText" text="OVERLOADED">
      <formula>NOT(ISERROR(SEARCH("OVERLOADED",I4)))</formula>
    </cfRule>
    <cfRule type="containsText" dxfId="3" priority="2" operator="containsText" text="AT CAPACITY">
      <formula>NOT(ISERROR(SEARCH("AT CAPACITY",I4)))</formula>
    </cfRule>
    <cfRule type="containsText" dxfId="2" priority="3" operator="containsText" text="HEALTHY">
      <formula>NOT(ISERROR(SEARCH("HEALTHY",I4)))</formula>
    </cfRule>
    <cfRule type="containsText" dxfId="1" priority="4" operator="containsText" text="AVAILABLE">
      <formula>NOT(ISERROR(SEARCH("AVAILABLE",I4)))</formula>
    </cfRule>
    <cfRule type="containsText" dxfId="0" priority="5" operator="containsText" text="INACTIVE">
      <formula>NOT(ISERROR(SEARCH("INACTIVE",I4)))</formula>
    </cfRule>
  </conditionalFormatting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9</vt:i4>
      </vt:variant>
    </vt:vector>
  </HeadingPairs>
  <TitlesOfParts>
    <vt:vector size="12" baseType="lpstr">
      <vt:lpstr>Inputs</vt:lpstr>
      <vt:lpstr>Deals</vt:lpstr>
      <vt:lpstr>Analysis</vt:lpstr>
      <vt:lpstr>BaselineOverhead</vt:lpstr>
      <vt:lpstr>Label_AboveCapacity</vt:lpstr>
      <vt:lpstr>Label_AtCapacity</vt:lpstr>
      <vt:lpstr>Label_Available</vt:lpstr>
      <vt:lpstr>Label_Healthy</vt:lpstr>
      <vt:lpstr>Threshold_AboveCapacity</vt:lpstr>
      <vt:lpstr>Threshold_AtCapacity</vt:lpstr>
      <vt:lpstr>Threshold_Healthy</vt:lpstr>
      <vt:lpstr>WeeklyCapHrs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Jose Paez</cp:lastModifiedBy>
  <cp:revision>0</cp:revision>
  <dcterms:created xsi:type="dcterms:W3CDTF">2026-03-23T23:00:22Z</dcterms:created>
  <dcterms:modified xsi:type="dcterms:W3CDTF">2026-04-13T01:29:22Z</dcterms:modified>
  <cp:category/>
  <cp:contentStatus/>
</cp:coreProperties>
</file>